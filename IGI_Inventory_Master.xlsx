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 Master" sheetId="1" state="visible" r:id="rId3"/>
    <sheet name="Mumbai Stock" sheetId="2" state="visible" r:id="rId4"/>
    <sheet name="Branch Stock Report" sheetId="3" state="visible" r:id="rId5"/>
    <sheet name="Demand Projection" sheetId="4" state="visible" r:id="rId6"/>
    <sheet name="How To Use" sheetId="5" state="visible" r:id="rId7"/>
  </sheets>
  <definedNames>
    <definedName function="false" hidden="true" localSheetId="2" name="_xlnm._FilterDatabase" vbProcedure="false">'Branch Stock Report'!$A$4:$I$81</definedName>
    <definedName function="false" hidden="true" localSheetId="3" name="_xlnm._FilterDatabase" vbProcedure="false">'Demand Projection'!$A$3:$N$81</definedName>
    <definedName function="false" hidden="true" localSheetId="0" name="_xlnm._FilterDatabase" vbProcedure="false">'Item Master'!$A$3:$L$80</definedName>
    <definedName function="false" hidden="true" localSheetId="1" name="_xlnm._FilterDatabase" vbProcedure="false">'Mumbai Stock'!$A$3:$J$80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<sst xmlns="http://schemas.openxmlformats.org/spreadsheetml/2006/main" count="1569" uniqueCount="168">
  <si>
    <t xml:space="preserve">IGI — INVENTORY ITEM MASTER CATALOG</t>
  </si>
  <si>
    <t xml:space="preserve">Mumbai HQ maintains this master. Yellow cells = fill in costs. Blue = inputs you may change.</t>
  </si>
  <si>
    <t xml:space="preserve">#</t>
  </si>
  <si>
    <t xml:space="preserve">ITEM NAME</t>
  </si>
  <si>
    <t xml:space="preserve">CATEGORY</t>
  </si>
  <si>
    <t xml:space="preserve">COURSE</t>
  </si>
  <si>
    <t xml:space="preserve">TYPE</t>
  </si>
  <si>
    <t xml:space="preserve">UNIT COST (₹)</t>
  </si>
  <si>
    <t xml:space="preserve">QTY PER STUDENT</t>
  </si>
  <si>
    <t xml:space="preserve">QTY PER CLASSROOM</t>
  </si>
  <si>
    <t xml:space="preserve">REORDER LEVEL</t>
  </si>
  <si>
    <t xml:space="preserve">LEAD TIME (days)</t>
  </si>
  <si>
    <t xml:space="preserve">SUPPLIER / VENDOR</t>
  </si>
  <si>
    <t xml:space="preserve">NOTES</t>
  </si>
  <si>
    <t xml:space="preserve">Education Brochure</t>
  </si>
  <si>
    <t xml:space="preserve">Promotion Collateral</t>
  </si>
  <si>
    <t xml:space="preserve">General</t>
  </si>
  <si>
    <t xml:space="preserve">Consumable</t>
  </si>
  <si>
    <t xml:space="preserve">For walk-ins &amp; events</t>
  </si>
  <si>
    <t xml:space="preserve">Spiral Note Book</t>
  </si>
  <si>
    <t xml:space="preserve">Given at enrollment</t>
  </si>
  <si>
    <t xml:space="preserve">Pens</t>
  </si>
  <si>
    <t xml:space="preserve">Diamond Grading Manual</t>
  </si>
  <si>
    <t xml:space="preserve">Course Collateral</t>
  </si>
  <si>
    <t xml:space="preserve">Diamond Graduate</t>
  </si>
  <si>
    <t xml:space="preserve">RBC Work Sheet</t>
  </si>
  <si>
    <t xml:space="preserve">Fancy Shape Work Sheet</t>
  </si>
  <si>
    <t xml:space="preserve">Fine Tip Tweezer</t>
  </si>
  <si>
    <t xml:space="preserve">Color Card</t>
  </si>
  <si>
    <t xml:space="preserve">Diamond Grading Kit</t>
  </si>
  <si>
    <t xml:space="preserve">Kit</t>
  </si>
  <si>
    <t xml:space="preserve">Full kit per student</t>
  </si>
  <si>
    <t xml:space="preserve">Assortment Pads</t>
  </si>
  <si>
    <t xml:space="preserve">Classroom Equipment</t>
  </si>
  <si>
    <t xml:space="preserve">Reusable</t>
  </si>
  <si>
    <t xml:space="preserve">4 per classroom</t>
  </si>
  <si>
    <t xml:space="preserve">Grading Lamps</t>
  </si>
  <si>
    <t xml:space="preserve">6 per classroom</t>
  </si>
  <si>
    <t xml:space="preserve">UV Lamp</t>
  </si>
  <si>
    <t xml:space="preserve">1 per classroom</t>
  </si>
  <si>
    <t xml:space="preserve">Microscope</t>
  </si>
  <si>
    <t xml:space="preserve">2 per classroom</t>
  </si>
  <si>
    <t xml:space="preserve">Dial Gauge</t>
  </si>
  <si>
    <t xml:space="preserve">Jewelry Gauge</t>
  </si>
  <si>
    <t xml:space="preserve">Colored Stone Manual</t>
  </si>
  <si>
    <t xml:space="preserve">Colored Stone Graduate</t>
  </si>
  <si>
    <t xml:space="preserve">CS Work Sheet</t>
  </si>
  <si>
    <t xml:space="preserve">Color Chart</t>
  </si>
  <si>
    <t xml:space="preserve">Colored Stone Grading Kit</t>
  </si>
  <si>
    <t xml:space="preserve">SG Kit / Weighing Scale</t>
  </si>
  <si>
    <t xml:space="preserve">Refractometer</t>
  </si>
  <si>
    <t xml:space="preserve">Dichroscope</t>
  </si>
  <si>
    <t xml:space="preserve">Polariscope</t>
  </si>
  <si>
    <t xml:space="preserve">Jewelry Design Manual</t>
  </si>
  <si>
    <t xml:space="preserve">Jewelry Design Graduate</t>
  </si>
  <si>
    <t xml:space="preserve">JD Journal / Sketch Book</t>
  </si>
  <si>
    <t xml:space="preserve">Jewelry Design Kit</t>
  </si>
  <si>
    <t xml:space="preserve">Portfolio Bag</t>
  </si>
  <si>
    <t xml:space="preserve">Vellum Sheets</t>
  </si>
  <si>
    <t xml:space="preserve">Pack of 10 per student</t>
  </si>
  <si>
    <t xml:space="preserve">A3 Black/Grey Sheets</t>
  </si>
  <si>
    <t xml:space="preserve">Sheet Protectors</t>
  </si>
  <si>
    <t xml:space="preserve">A4 Gateway Sheet</t>
  </si>
  <si>
    <t xml:space="preserve">Polished Diamond Grading Manual</t>
  </si>
  <si>
    <t xml:space="preserve">Polished Diamond Grading</t>
  </si>
  <si>
    <t xml:space="preserve">Rough Diamond Grading Manual</t>
  </si>
  <si>
    <t xml:space="preserve">Rough Diamond Grading</t>
  </si>
  <si>
    <t xml:space="preserve">Small Diamond Assortment Manual</t>
  </si>
  <si>
    <t xml:space="preserve">Small Diamond Assortment</t>
  </si>
  <si>
    <t xml:space="preserve">Gem Cloth</t>
  </si>
  <si>
    <t xml:space="preserve">Ghodi (Stand)</t>
  </si>
  <si>
    <t xml:space="preserve">Diamond Sorting Sieve</t>
  </si>
  <si>
    <t xml:space="preserve">IRES Manual</t>
  </si>
  <si>
    <t xml:space="preserve">Identification of RES</t>
  </si>
  <si>
    <t xml:space="preserve">Jewelry Design CAD Manual</t>
  </si>
  <si>
    <t xml:space="preserve">Jewelry Design CAD</t>
  </si>
  <si>
    <t xml:space="preserve">PC with Rhino Software</t>
  </si>
  <si>
    <t xml:space="preserve">1 per student seat; licenced</t>
  </si>
  <si>
    <t xml:space="preserve">JewelPad Design Manual</t>
  </si>
  <si>
    <t xml:space="preserve">JewelPad Design</t>
  </si>
  <si>
    <t xml:space="preserve">Diploma in Pearl Manual</t>
  </si>
  <si>
    <t xml:space="preserve">Diploma in Pearl</t>
  </si>
  <si>
    <t xml:space="preserve">Pearl Work Sheet</t>
  </si>
  <si>
    <t xml:space="preserve">Pearl Grading Kit</t>
  </si>
  <si>
    <t xml:space="preserve">Pearl Assortment Tray</t>
  </si>
  <si>
    <t xml:space="preserve">Black Laptop Bags</t>
  </si>
  <si>
    <t xml:space="preserve">Misc / Diploma</t>
  </si>
  <si>
    <t xml:space="preserve">For study material</t>
  </si>
  <si>
    <t xml:space="preserve">Black Jute Bags</t>
  </si>
  <si>
    <t xml:space="preserve">For Diploma packet</t>
  </si>
  <si>
    <t xml:space="preserve">Student Diploma</t>
  </si>
  <si>
    <t xml:space="preserve">Print on demand</t>
  </si>
  <si>
    <t xml:space="preserve">Participant Certificate</t>
  </si>
  <si>
    <t xml:space="preserve">IGI — MUMBAI HQ STOCK LEDGER</t>
  </si>
  <si>
    <t xml:space="preserve">Update Qty on Hand whenever stock is received or dispatched. Status is auto-calculated.</t>
  </si>
  <si>
    <t xml:space="preserve">QTY ON HAND</t>
  </si>
  <si>
    <t xml:space="preserve">QTY ON ORDER</t>
  </si>
  <si>
    <t xml:space="preserve">TOTAL AVAILABLE</t>
  </si>
  <si>
    <t xml:space="preserve">STATUS</t>
  </si>
  <si>
    <t xml:space="preserve">TOTAL VALUE (₹)</t>
  </si>
  <si>
    <t xml:space="preserve">IGI — BRANCH CURRENT STOCK REPORT</t>
  </si>
  <si>
    <t xml:space="preserve">CENTRE NAME:</t>
  </si>
  <si>
    <t xml:space="preserve">No. of Classrooms:</t>
  </si>
  <si>
    <t xml:space="preserve">REPORT DATE:</t>
  </si>
  <si>
    <t xml:space="preserve">Avg Classroom Capacity:</t>
  </si>
  <si>
    <t xml:space="preserve">CONDITION
(Good/Damaged/Missing)</t>
  </si>
  <si>
    <t xml:space="preserve">MIN REQUIRED
(auto)</t>
  </si>
  <si>
    <t xml:space="preserve">SHORTFALL</t>
  </si>
  <si>
    <t xml:space="preserve">REMARKS</t>
  </si>
  <si>
    <t xml:space="preserve">Good</t>
  </si>
  <si>
    <t xml:space="preserve">IGI — INVENTORY DEMAND PROJECTION (6-Month Rolling)</t>
  </si>
  <si>
    <t xml:space="preserve">Enter expected enrollments per course per month below. Projection auto-calculates collateral requirements. Equipment projection based on branch classroom totals.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</si>
  <si>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</si>
  <si>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</si>
  <si>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</si>
  <si>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</si>
  <si>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</si>
  <si>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</si>
  <si>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TOTAL NEEDED</t>
  </si>
  <si>
    <t xml:space="preserve">MUMBAI STOCK</t>
  </si>
  <si>
    <t xml:space="preserve">▶  Enter expected enrollments per month in Month columns for Course Collaterals</t>
  </si>
  <si>
    <t xml:space="preserve">N/A</t>
  </si>
  <si>
    <t xml:space="preserve">IGI INVENTORY SYSTEM — HOW TO USE THIS WORKBOOK</t>
  </si>
  <si>
    <t xml:space="preserve">SHEET</t>
  </si>
  <si>
    <t xml:space="preserve">PURPOSE</t>
  </si>
  <si>
    <t xml:space="preserve">WHO ACTS</t>
  </si>
  <si>
    <t xml:space="preserve">Item Master</t>
  </si>
  <si>
    <t xml:space="preserve">Central catalog of all inventory items with costs, reorder levels &amp; lead times</t>
  </si>
  <si>
    <t xml:space="preserve">Mumbai HQ — fill in Unit Cost (yellow cells) once. Review reorder levels periodically.</t>
  </si>
  <si>
    <t xml:space="preserve">Mumbai Stock</t>
  </si>
  <si>
    <t xml:space="preserve">Mumbai's live stock ledger. Shows on-hand, on-order, status (OK / REORDER / OUT)</t>
  </si>
  <si>
    <t xml:space="preserve">Mumbai HQ — update Qty on Hand and Qty on Order whenever stock moves.</t>
  </si>
  <si>
    <t xml:space="preserve">Branch Stock Report</t>
  </si>
  <si>
    <t xml:space="preserve">Template each branch fills to report their current stock &amp; equipment condition</t>
  </si>
  <si>
    <t xml:space="preserve">Branch Counsellors — fill Centre Name, Date, Classrooms, Qty on Hand, Condition monthly.</t>
  </si>
  <si>
    <t xml:space="preserve">Demand Projection</t>
  </si>
  <si>
    <t xml:space="preserve">6-month rolling view of collateral needs based on expected enrollments</t>
  </si>
  <si>
    <t xml:space="preserve">Mumbai HQ or Counsellors — enter expected student enrollments per course per month. Shortfall column highlights gaps.</t>
  </si>
  <si>
    <t xml:space="preserve">COLOUR CODE</t>
  </si>
  <si>
    <t xml:space="preserve">Blue text / cells</t>
  </si>
  <si>
    <t xml:space="preserve">User input — fill these in</t>
  </si>
  <si>
    <t xml:space="preserve">Yellow cells</t>
  </si>
  <si>
    <t xml:space="preserve">Important inputs needing attention</t>
  </si>
  <si>
    <t xml:space="preserve">Green status</t>
  </si>
  <si>
    <t xml:space="preserve">Stock OK</t>
  </si>
  <si>
    <t xml:space="preserve">Yellow status</t>
  </si>
  <si>
    <t xml:space="preserve">Stock at or below reorder level — place order</t>
  </si>
  <si>
    <t xml:space="preserve">Red status</t>
  </si>
  <si>
    <t xml:space="preserve">Out of stock or shortfall — urgent action needed</t>
  </si>
  <si>
    <t xml:space="preserve">WORKFLOW</t>
  </si>
  <si>
    <t xml:space="preserve">Step 1</t>
  </si>
  <si>
    <t xml:space="preserve">Mumbai fills Unit Cost in Item Master (yellow column F)</t>
  </si>
  <si>
    <t xml:space="preserve">Monthly or when costs change</t>
  </si>
  <si>
    <t xml:space="preserve">Step 2</t>
  </si>
  <si>
    <t xml:space="preserve">Each branch fills Branch Stock Report and sends to Mumbai</t>
  </si>
  <si>
    <t xml:space="preserve">Monthly (1st of month)</t>
  </si>
  <si>
    <t xml:space="preserve">Step 3</t>
  </si>
  <si>
    <t xml:space="preserve">Mumbai updates Mumbai Stock sheet with current on-hand &amp; orders</t>
  </si>
  <si>
    <t xml:space="preserve">After receiving branch reports</t>
  </si>
  <si>
    <t xml:space="preserve">Step 4</t>
  </si>
  <si>
    <t xml:space="preserve">Counsellors enter expected enrollments in Demand Projection</t>
  </si>
  <si>
    <t xml:space="preserve">Monthly planning cycle</t>
  </si>
  <si>
    <t xml:space="preserve">Step 5</t>
  </si>
  <si>
    <t xml:space="preserve">Review Shortfall column — red = raise purchase order now</t>
  </si>
  <si>
    <t xml:space="preserve">Mumbai procurement team</t>
  </si>
  <si>
    <t xml:space="preserve">Step 6</t>
  </si>
  <si>
    <t xml:space="preserve">Branches raise stock requisitions via the portal for dispatch</t>
  </si>
  <si>
    <t xml:space="preserve">As needed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</si>
</sst>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D2B4E"/>
      <name val="Arial"/>
      <family val="0"/>
      <charset val="1"/>
    </font>
    <font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2B4E"/>
        <bgColor rgb="FF333333"/>
      </patternFill>
    </fill>
    <fill>
      <patternFill patternType="solid">
        <fgColor rgb="FFE8F4FD"/>
        <bgColor rgb="FFE8F0FE"/>
      </patternFill>
    </fill>
    <fill>
      <patternFill patternType="solid">
        <fgColor rgb="FFFFF2CC"/>
        <bgColor rgb="FFFFF9E6"/>
      </patternFill>
    </fill>
    <fill>
      <patternFill patternType="solid">
        <fgColor rgb="FFEAF4EA"/>
        <bgColor rgb="FFF0F0F0"/>
      </patternFill>
    </fill>
    <fill>
      <patternFill patternType="solid">
        <fgColor rgb="FFFFF9E6"/>
        <bgColor rgb="FFF5F5F5"/>
      </patternFill>
    </fill>
    <fill>
      <patternFill patternType="solid">
        <fgColor rgb="FFF9ECF9"/>
        <bgColor rgb="FFF0F0F0"/>
      </patternFill>
    </fill>
    <fill>
      <patternFill patternType="solid">
        <fgColor rgb="FFE8F0FE"/>
        <bgColor rgb="FFE8F4FD"/>
      </patternFill>
    </fill>
    <fill>
      <patternFill patternType="solid">
        <fgColor rgb="FFF0F0F0"/>
        <bgColor rgb="FFEAF4EA"/>
      </patternFill>
    </fill>
    <fill>
      <patternFill patternType="solid">
        <fgColor rgb="FFC9A84C"/>
        <bgColor rgb="FFFF9900"/>
      </patternFill>
    </fill>
    <fill>
      <patternFill patternType="solid">
        <fgColor rgb="FFF5F5F5"/>
        <bgColor rgb="FFF0F0F0"/>
      </patternFill>
    </fill>
    <fill>
      <patternFill patternType="solid">
        <fgColor rgb="FFFFFFFF"/>
        <bgColor rgb="FFFFF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0D2B4E"/>
          <bgColor rgb="FF000000"/>
        </patternFill>
      </fill>
    </dxf>
    <dxf>
      <fill>
        <patternFill patternType="solid">
          <fgColor rgb="FFE8F4FD"/>
          <bgColor rgb="FF000000"/>
        </patternFill>
      </fill>
    </dxf>
    <dxf>
      <fill>
        <patternFill patternType="solid">
          <fgColor rgb="FFEAF4EA"/>
          <bgColor rgb="FF000000"/>
        </patternFill>
      </fill>
    </dxf>
    <dxf>
      <fill>
        <patternFill patternType="solid">
          <fgColor rgb="FFF9ECF9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9A84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276221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5700"/>
        <sz val="9"/>
      </font>
      <fill>
        <patternFill>
          <bgColor rgb="FFFFEB9C"/>
        </patternFill>
      </fill>
    </dxf>
    <dxf>
      <font>
        <name val="Arial"/>
        <charset val="1"/>
        <family val="0"/>
        <color rgb="FF9C0006"/>
        <sz val="9"/>
      </font>
      <fill>
        <patternFill>
          <bgColor rgb="FFFFC7CE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F0F0F0"/>
      <rgbColor rgb="FF777777"/>
      <rgbColor rgb="FF9999FF"/>
      <rgbColor rgb="FF993366"/>
      <rgbColor rgb="FFFFF9E6"/>
      <rgbColor rgb="FFE8F4FD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EB9C"/>
      <rgbColor rgb="FFEAF4EA"/>
      <rgbColor rgb="FFF9ECF9"/>
      <rgbColor rgb="FFF5F5F5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C9A84C"/>
      <rgbColor rgb="FF0D2B4E"/>
      <rgbColor rgb="FF2E7D32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4E"/>
    <pageSetUpPr fitToPage="false"/>
  </sheetPr>
  <dimension ref="A1:L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22"/>
    <col collapsed="false" customWidth="true" hidden="false" outlineLevel="0" max="12" min="12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" hidden="false" customHeight="false" outlineLevel="0" collapsed="false">
      <c r="A4" s="4" t="n">
        <v>1</v>
      </c>
      <c r="B4" s="5" t="s">
        <v>14</v>
      </c>
      <c r="C4" s="5" t="s">
        <v>15</v>
      </c>
      <c r="D4" s="5" t="s">
        <v>16</v>
      </c>
      <c r="E4" s="5" t="s">
        <v>17</v>
      </c>
      <c r="F4" s="6"/>
      <c r="G4" s="4" t="n">
        <v>1</v>
      </c>
      <c r="H4" s="4" t="n">
        <v>0</v>
      </c>
      <c r="I4" s="4" t="n">
        <v>50</v>
      </c>
      <c r="J4" s="4" t="n">
        <v>7</v>
      </c>
      <c r="K4" s="5"/>
      <c r="L4" s="5" t="s">
        <v>18</v>
      </c>
    </row>
    <row r="5" customFormat="false" ht="15" hidden="false" customHeight="false" outlineLevel="0" collapsed="false">
      <c r="A5" s="4" t="n">
        <v>2</v>
      </c>
      <c r="B5" s="5" t="s">
        <v>19</v>
      </c>
      <c r="C5" s="5" t="s">
        <v>15</v>
      </c>
      <c r="D5" s="5" t="s">
        <v>16</v>
      </c>
      <c r="E5" s="5" t="s">
        <v>17</v>
      </c>
      <c r="F5" s="6"/>
      <c r="G5" s="4" t="n">
        <v>1</v>
      </c>
      <c r="H5" s="4" t="n">
        <v>0</v>
      </c>
      <c r="I5" s="4" t="n">
        <v>30</v>
      </c>
      <c r="J5" s="4" t="n">
        <v>7</v>
      </c>
      <c r="K5" s="5"/>
      <c r="L5" s="5" t="s">
        <v>20</v>
      </c>
    </row>
    <row r="6" customFormat="false" ht="15" hidden="false" customHeight="false" outlineLevel="0" collapsed="false">
      <c r="A6" s="4" t="n">
        <v>3</v>
      </c>
      <c r="B6" s="5" t="s">
        <v>21</v>
      </c>
      <c r="C6" s="5" t="s">
        <v>15</v>
      </c>
      <c r="D6" s="5" t="s">
        <v>16</v>
      </c>
      <c r="E6" s="5" t="s">
        <v>17</v>
      </c>
      <c r="F6" s="6"/>
      <c r="G6" s="4" t="n">
        <v>2</v>
      </c>
      <c r="H6" s="4" t="n">
        <v>0</v>
      </c>
      <c r="I6" s="4" t="n">
        <v>100</v>
      </c>
      <c r="J6" s="4" t="n">
        <v>5</v>
      </c>
      <c r="K6" s="5"/>
      <c r="L6" s="5"/>
    </row>
    <row r="7" customFormat="false" ht="15" hidden="false" customHeight="false" outlineLevel="0" collapsed="false">
      <c r="A7" s="7" t="n">
        <v>4</v>
      </c>
      <c r="B7" s="8" t="s">
        <v>22</v>
      </c>
      <c r="C7" s="8" t="s">
        <v>23</v>
      </c>
      <c r="D7" s="8" t="s">
        <v>24</v>
      </c>
      <c r="E7" s="8" t="s">
        <v>17</v>
      </c>
      <c r="F7" s="6"/>
      <c r="G7" s="7" t="n">
        <v>1</v>
      </c>
      <c r="H7" s="7" t="n">
        <v>0</v>
      </c>
      <c r="I7" s="7" t="n">
        <v>10</v>
      </c>
      <c r="J7" s="7" t="n">
        <v>14</v>
      </c>
      <c r="K7" s="8"/>
      <c r="L7" s="8"/>
    </row>
    <row r="8" customFormat="false" ht="15" hidden="false" customHeight="false" outlineLevel="0" collapsed="false">
      <c r="A8" s="7" t="n">
        <v>5</v>
      </c>
      <c r="B8" s="8" t="s">
        <v>25</v>
      </c>
      <c r="C8" s="8" t="s">
        <v>23</v>
      </c>
      <c r="D8" s="8" t="s">
        <v>24</v>
      </c>
      <c r="E8" s="8" t="s">
        <v>17</v>
      </c>
      <c r="F8" s="6"/>
      <c r="G8" s="7" t="n">
        <v>2</v>
      </c>
      <c r="H8" s="7" t="n">
        <v>0</v>
      </c>
      <c r="I8" s="7" t="n">
        <v>20</v>
      </c>
      <c r="J8" s="7" t="n">
        <v>7</v>
      </c>
      <c r="K8" s="8"/>
      <c r="L8" s="8"/>
    </row>
    <row r="9" customFormat="false" ht="15" hidden="false" customHeight="false" outlineLevel="0" collapsed="false">
      <c r="A9" s="7" t="n">
        <v>6</v>
      </c>
      <c r="B9" s="8" t="s">
        <v>26</v>
      </c>
      <c r="C9" s="8" t="s">
        <v>23</v>
      </c>
      <c r="D9" s="8" t="s">
        <v>24</v>
      </c>
      <c r="E9" s="8" t="s">
        <v>17</v>
      </c>
      <c r="F9" s="6"/>
      <c r="G9" s="7" t="n">
        <v>2</v>
      </c>
      <c r="H9" s="7" t="n">
        <v>0</v>
      </c>
      <c r="I9" s="7" t="n">
        <v>20</v>
      </c>
      <c r="J9" s="7" t="n">
        <v>7</v>
      </c>
      <c r="K9" s="8"/>
      <c r="L9" s="8"/>
    </row>
    <row r="10" customFormat="false" ht="15" hidden="false" customHeight="false" outlineLevel="0" collapsed="false">
      <c r="A10" s="7" t="n">
        <v>7</v>
      </c>
      <c r="B10" s="8" t="s">
        <v>27</v>
      </c>
      <c r="C10" s="8" t="s">
        <v>23</v>
      </c>
      <c r="D10" s="8" t="s">
        <v>24</v>
      </c>
      <c r="E10" s="8" t="s">
        <v>17</v>
      </c>
      <c r="F10" s="6"/>
      <c r="G10" s="7" t="n">
        <v>1</v>
      </c>
      <c r="H10" s="7" t="n">
        <v>0</v>
      </c>
      <c r="I10" s="7" t="n">
        <v>10</v>
      </c>
      <c r="J10" s="7" t="n">
        <v>10</v>
      </c>
      <c r="K10" s="8"/>
      <c r="L10" s="8"/>
    </row>
    <row r="11" customFormat="false" ht="15" hidden="false" customHeight="false" outlineLevel="0" collapsed="false">
      <c r="A11" s="7" t="n">
        <v>8</v>
      </c>
      <c r="B11" s="8" t="s">
        <v>28</v>
      </c>
      <c r="C11" s="8" t="s">
        <v>23</v>
      </c>
      <c r="D11" s="8" t="s">
        <v>24</v>
      </c>
      <c r="E11" s="8" t="s">
        <v>17</v>
      </c>
      <c r="F11" s="6"/>
      <c r="G11" s="7" t="n">
        <v>1</v>
      </c>
      <c r="H11" s="7" t="n">
        <v>0</v>
      </c>
      <c r="I11" s="7" t="n">
        <v>10</v>
      </c>
      <c r="J11" s="7" t="n">
        <v>14</v>
      </c>
      <c r="K11" s="8"/>
      <c r="L11" s="8"/>
    </row>
    <row r="12" customFormat="false" ht="15" hidden="false" customHeight="false" outlineLevel="0" collapsed="false">
      <c r="A12" s="7" t="n">
        <v>9</v>
      </c>
      <c r="B12" s="8" t="s">
        <v>29</v>
      </c>
      <c r="C12" s="8" t="s">
        <v>23</v>
      </c>
      <c r="D12" s="8" t="s">
        <v>24</v>
      </c>
      <c r="E12" s="8" t="s">
        <v>30</v>
      </c>
      <c r="F12" s="6"/>
      <c r="G12" s="7" t="n">
        <v>1</v>
      </c>
      <c r="H12" s="7" t="n">
        <v>0</v>
      </c>
      <c r="I12" s="7" t="n">
        <v>5</v>
      </c>
      <c r="J12" s="7" t="n">
        <v>21</v>
      </c>
      <c r="K12" s="8"/>
      <c r="L12" s="8" t="s">
        <v>31</v>
      </c>
    </row>
    <row r="13" customFormat="false" ht="15" hidden="false" customHeight="false" outlineLevel="0" collapsed="false">
      <c r="A13" s="9" t="n">
        <v>10</v>
      </c>
      <c r="B13" s="10" t="s">
        <v>32</v>
      </c>
      <c r="C13" s="10" t="s">
        <v>33</v>
      </c>
      <c r="D13" s="10" t="s">
        <v>24</v>
      </c>
      <c r="E13" s="10" t="s">
        <v>34</v>
      </c>
      <c r="F13" s="6"/>
      <c r="G13" s="9" t="n">
        <v>0</v>
      </c>
      <c r="H13" s="9" t="n">
        <v>4</v>
      </c>
      <c r="I13" s="9" t="n">
        <v>2</v>
      </c>
      <c r="J13" s="9" t="n">
        <v>14</v>
      </c>
      <c r="K13" s="10"/>
      <c r="L13" s="10" t="s">
        <v>35</v>
      </c>
    </row>
    <row r="14" customFormat="false" ht="15" hidden="false" customHeight="false" outlineLevel="0" collapsed="false">
      <c r="A14" s="9" t="n">
        <v>11</v>
      </c>
      <c r="B14" s="10" t="s">
        <v>36</v>
      </c>
      <c r="C14" s="10" t="s">
        <v>33</v>
      </c>
      <c r="D14" s="10" t="s">
        <v>24</v>
      </c>
      <c r="E14" s="10" t="s">
        <v>34</v>
      </c>
      <c r="F14" s="6"/>
      <c r="G14" s="9" t="n">
        <v>0</v>
      </c>
      <c r="H14" s="9" t="n">
        <v>6</v>
      </c>
      <c r="I14" s="9" t="n">
        <v>1</v>
      </c>
      <c r="J14" s="9" t="n">
        <v>21</v>
      </c>
      <c r="K14" s="10"/>
      <c r="L14" s="10" t="s">
        <v>37</v>
      </c>
    </row>
    <row r="15" customFormat="false" ht="15" hidden="false" customHeight="false" outlineLevel="0" collapsed="false">
      <c r="A15" s="9" t="n">
        <v>12</v>
      </c>
      <c r="B15" s="10" t="s">
        <v>38</v>
      </c>
      <c r="C15" s="10" t="s">
        <v>33</v>
      </c>
      <c r="D15" s="10" t="s">
        <v>24</v>
      </c>
      <c r="E15" s="10" t="s">
        <v>34</v>
      </c>
      <c r="F15" s="6"/>
      <c r="G15" s="9" t="n">
        <v>0</v>
      </c>
      <c r="H15" s="9" t="n">
        <v>1</v>
      </c>
      <c r="I15" s="9" t="n">
        <v>1</v>
      </c>
      <c r="J15" s="9" t="n">
        <v>14</v>
      </c>
      <c r="K15" s="10"/>
      <c r="L15" s="10" t="s">
        <v>39</v>
      </c>
    </row>
    <row r="16" customFormat="false" ht="15" hidden="false" customHeight="false" outlineLevel="0" collapsed="false">
      <c r="A16" s="9" t="n">
        <v>13</v>
      </c>
      <c r="B16" s="10" t="s">
        <v>40</v>
      </c>
      <c r="C16" s="10" t="s">
        <v>33</v>
      </c>
      <c r="D16" s="10" t="s">
        <v>24</v>
      </c>
      <c r="E16" s="10" t="s">
        <v>34</v>
      </c>
      <c r="F16" s="6"/>
      <c r="G16" s="9" t="n">
        <v>0</v>
      </c>
      <c r="H16" s="9" t="n">
        <v>2</v>
      </c>
      <c r="I16" s="9" t="n">
        <v>1</v>
      </c>
      <c r="J16" s="9" t="n">
        <v>30</v>
      </c>
      <c r="K16" s="10"/>
      <c r="L16" s="10" t="s">
        <v>41</v>
      </c>
    </row>
    <row r="17" customFormat="false" ht="15" hidden="false" customHeight="false" outlineLevel="0" collapsed="false">
      <c r="A17" s="9" t="n">
        <v>14</v>
      </c>
      <c r="B17" s="10" t="s">
        <v>42</v>
      </c>
      <c r="C17" s="10" t="s">
        <v>33</v>
      </c>
      <c r="D17" s="10" t="s">
        <v>24</v>
      </c>
      <c r="E17" s="10" t="s">
        <v>34</v>
      </c>
      <c r="F17" s="6"/>
      <c r="G17" s="9" t="n">
        <v>0</v>
      </c>
      <c r="H17" s="9" t="n">
        <v>2</v>
      </c>
      <c r="I17" s="9" t="n">
        <v>1</v>
      </c>
      <c r="J17" s="9" t="n">
        <v>21</v>
      </c>
      <c r="K17" s="10"/>
      <c r="L17" s="10"/>
    </row>
    <row r="18" customFormat="false" ht="15" hidden="false" customHeight="false" outlineLevel="0" collapsed="false">
      <c r="A18" s="9" t="n">
        <v>15</v>
      </c>
      <c r="B18" s="10" t="s">
        <v>43</v>
      </c>
      <c r="C18" s="10" t="s">
        <v>33</v>
      </c>
      <c r="D18" s="10" t="s">
        <v>24</v>
      </c>
      <c r="E18" s="10" t="s">
        <v>34</v>
      </c>
      <c r="F18" s="6"/>
      <c r="G18" s="9" t="n">
        <v>0</v>
      </c>
      <c r="H18" s="9" t="n">
        <v>2</v>
      </c>
      <c r="I18" s="9" t="n">
        <v>1</v>
      </c>
      <c r="J18" s="9" t="n">
        <v>21</v>
      </c>
      <c r="K18" s="10"/>
      <c r="L18" s="10"/>
    </row>
    <row r="19" customFormat="false" ht="15" hidden="false" customHeight="false" outlineLevel="0" collapsed="false">
      <c r="A19" s="7" t="n">
        <v>16</v>
      </c>
      <c r="B19" s="8" t="s">
        <v>44</v>
      </c>
      <c r="C19" s="8" t="s">
        <v>23</v>
      </c>
      <c r="D19" s="8" t="s">
        <v>45</v>
      </c>
      <c r="E19" s="8" t="s">
        <v>17</v>
      </c>
      <c r="F19" s="6"/>
      <c r="G19" s="7" t="n">
        <v>1</v>
      </c>
      <c r="H19" s="7" t="n">
        <v>0</v>
      </c>
      <c r="I19" s="7" t="n">
        <v>10</v>
      </c>
      <c r="J19" s="7" t="n">
        <v>14</v>
      </c>
      <c r="K19" s="8"/>
      <c r="L19" s="8"/>
    </row>
    <row r="20" customFormat="false" ht="15" hidden="false" customHeight="false" outlineLevel="0" collapsed="false">
      <c r="A20" s="7" t="n">
        <v>17</v>
      </c>
      <c r="B20" s="8" t="s">
        <v>46</v>
      </c>
      <c r="C20" s="8" t="s">
        <v>23</v>
      </c>
      <c r="D20" s="8" t="s">
        <v>45</v>
      </c>
      <c r="E20" s="8" t="s">
        <v>17</v>
      </c>
      <c r="F20" s="6"/>
      <c r="G20" s="7" t="n">
        <v>2</v>
      </c>
      <c r="H20" s="7" t="n">
        <v>0</v>
      </c>
      <c r="I20" s="7" t="n">
        <v>20</v>
      </c>
      <c r="J20" s="7" t="n">
        <v>7</v>
      </c>
      <c r="K20" s="8"/>
      <c r="L20" s="8"/>
    </row>
    <row r="21" customFormat="false" ht="15" hidden="false" customHeight="false" outlineLevel="0" collapsed="false">
      <c r="A21" s="7" t="n">
        <v>18</v>
      </c>
      <c r="B21" s="8" t="s">
        <v>47</v>
      </c>
      <c r="C21" s="8" t="s">
        <v>23</v>
      </c>
      <c r="D21" s="8" t="s">
        <v>45</v>
      </c>
      <c r="E21" s="8" t="s">
        <v>17</v>
      </c>
      <c r="F21" s="6"/>
      <c r="G21" s="7" t="n">
        <v>1</v>
      </c>
      <c r="H21" s="7" t="n">
        <v>0</v>
      </c>
      <c r="I21" s="7" t="n">
        <v>10</v>
      </c>
      <c r="J21" s="7" t="n">
        <v>14</v>
      </c>
      <c r="K21" s="8"/>
      <c r="L21" s="8"/>
    </row>
    <row r="22" customFormat="false" ht="15" hidden="false" customHeight="false" outlineLevel="0" collapsed="false">
      <c r="A22" s="7" t="n">
        <v>19</v>
      </c>
      <c r="B22" s="8" t="s">
        <v>48</v>
      </c>
      <c r="C22" s="8" t="s">
        <v>23</v>
      </c>
      <c r="D22" s="8" t="s">
        <v>45</v>
      </c>
      <c r="E22" s="8" t="s">
        <v>30</v>
      </c>
      <c r="F22" s="6"/>
      <c r="G22" s="7" t="n">
        <v>1</v>
      </c>
      <c r="H22" s="7" t="n">
        <v>0</v>
      </c>
      <c r="I22" s="7" t="n">
        <v>5</v>
      </c>
      <c r="J22" s="7" t="n">
        <v>21</v>
      </c>
      <c r="K22" s="8"/>
      <c r="L22" s="8"/>
    </row>
    <row r="23" customFormat="false" ht="15" hidden="false" customHeight="false" outlineLevel="0" collapsed="false">
      <c r="A23" s="9" t="n">
        <v>20</v>
      </c>
      <c r="B23" s="10" t="s">
        <v>32</v>
      </c>
      <c r="C23" s="10" t="s">
        <v>33</v>
      </c>
      <c r="D23" s="10" t="s">
        <v>45</v>
      </c>
      <c r="E23" s="10" t="s">
        <v>34</v>
      </c>
      <c r="F23" s="6"/>
      <c r="G23" s="9" t="n">
        <v>0</v>
      </c>
      <c r="H23" s="9" t="n">
        <v>4</v>
      </c>
      <c r="I23" s="9" t="n">
        <v>1</v>
      </c>
      <c r="J23" s="9" t="n">
        <v>14</v>
      </c>
      <c r="K23" s="10"/>
      <c r="L23" s="10"/>
    </row>
    <row r="24" customFormat="false" ht="15" hidden="false" customHeight="false" outlineLevel="0" collapsed="false">
      <c r="A24" s="9" t="n">
        <v>21</v>
      </c>
      <c r="B24" s="10" t="s">
        <v>36</v>
      </c>
      <c r="C24" s="10" t="s">
        <v>33</v>
      </c>
      <c r="D24" s="10" t="s">
        <v>45</v>
      </c>
      <c r="E24" s="10" t="s">
        <v>34</v>
      </c>
      <c r="F24" s="6"/>
      <c r="G24" s="9" t="n">
        <v>0</v>
      </c>
      <c r="H24" s="9" t="n">
        <v>6</v>
      </c>
      <c r="I24" s="9" t="n">
        <v>1</v>
      </c>
      <c r="J24" s="9" t="n">
        <v>21</v>
      </c>
      <c r="K24" s="10"/>
      <c r="L24" s="10"/>
    </row>
    <row r="25" customFormat="false" ht="15" hidden="false" customHeight="false" outlineLevel="0" collapsed="false">
      <c r="A25" s="9" t="n">
        <v>22</v>
      </c>
      <c r="B25" s="10" t="s">
        <v>38</v>
      </c>
      <c r="C25" s="10" t="s">
        <v>33</v>
      </c>
      <c r="D25" s="10" t="s">
        <v>45</v>
      </c>
      <c r="E25" s="10" t="s">
        <v>34</v>
      </c>
      <c r="F25" s="6"/>
      <c r="G25" s="9" t="n">
        <v>0</v>
      </c>
      <c r="H25" s="9" t="n">
        <v>1</v>
      </c>
      <c r="I25" s="9" t="n">
        <v>1</v>
      </c>
      <c r="J25" s="9" t="n">
        <v>14</v>
      </c>
      <c r="K25" s="10"/>
      <c r="L25" s="10"/>
    </row>
    <row r="26" customFormat="false" ht="15" hidden="false" customHeight="false" outlineLevel="0" collapsed="false">
      <c r="A26" s="9" t="n">
        <v>23</v>
      </c>
      <c r="B26" s="10" t="s">
        <v>49</v>
      </c>
      <c r="C26" s="10" t="s">
        <v>33</v>
      </c>
      <c r="D26" s="10" t="s">
        <v>45</v>
      </c>
      <c r="E26" s="10" t="s">
        <v>34</v>
      </c>
      <c r="F26" s="6"/>
      <c r="G26" s="9" t="n">
        <v>0</v>
      </c>
      <c r="H26" s="9" t="n">
        <v>1</v>
      </c>
      <c r="I26" s="9" t="n">
        <v>1</v>
      </c>
      <c r="J26" s="9" t="n">
        <v>30</v>
      </c>
      <c r="K26" s="10"/>
      <c r="L26" s="10"/>
    </row>
    <row r="27" customFormat="false" ht="15" hidden="false" customHeight="false" outlineLevel="0" collapsed="false">
      <c r="A27" s="9" t="n">
        <v>24</v>
      </c>
      <c r="B27" s="10" t="s">
        <v>40</v>
      </c>
      <c r="C27" s="10" t="s">
        <v>33</v>
      </c>
      <c r="D27" s="10" t="s">
        <v>45</v>
      </c>
      <c r="E27" s="10" t="s">
        <v>34</v>
      </c>
      <c r="F27" s="6"/>
      <c r="G27" s="9" t="n">
        <v>0</v>
      </c>
      <c r="H27" s="9" t="n">
        <v>2</v>
      </c>
      <c r="I27" s="9" t="n">
        <v>1</v>
      </c>
      <c r="J27" s="9" t="n">
        <v>30</v>
      </c>
      <c r="K27" s="10"/>
      <c r="L27" s="10"/>
    </row>
    <row r="28" customFormat="false" ht="15" hidden="false" customHeight="false" outlineLevel="0" collapsed="false">
      <c r="A28" s="9" t="n">
        <v>25</v>
      </c>
      <c r="B28" s="10" t="s">
        <v>50</v>
      </c>
      <c r="C28" s="10" t="s">
        <v>33</v>
      </c>
      <c r="D28" s="10" t="s">
        <v>45</v>
      </c>
      <c r="E28" s="10" t="s">
        <v>34</v>
      </c>
      <c r="F28" s="6"/>
      <c r="G28" s="9" t="n">
        <v>0</v>
      </c>
      <c r="H28" s="9" t="n">
        <v>1</v>
      </c>
      <c r="I28" s="9" t="n">
        <v>1</v>
      </c>
      <c r="J28" s="9" t="n">
        <v>30</v>
      </c>
      <c r="K28" s="10"/>
      <c r="L28" s="10"/>
    </row>
    <row r="29" customFormat="false" ht="15" hidden="false" customHeight="false" outlineLevel="0" collapsed="false">
      <c r="A29" s="9" t="n">
        <v>26</v>
      </c>
      <c r="B29" s="10" t="s">
        <v>51</v>
      </c>
      <c r="C29" s="10" t="s">
        <v>33</v>
      </c>
      <c r="D29" s="10" t="s">
        <v>45</v>
      </c>
      <c r="E29" s="10" t="s">
        <v>34</v>
      </c>
      <c r="F29" s="6"/>
      <c r="G29" s="9" t="n">
        <v>0</v>
      </c>
      <c r="H29" s="9" t="n">
        <v>1</v>
      </c>
      <c r="I29" s="9" t="n">
        <v>1</v>
      </c>
      <c r="J29" s="9" t="n">
        <v>21</v>
      </c>
      <c r="K29" s="10"/>
      <c r="L29" s="10"/>
    </row>
    <row r="30" customFormat="false" ht="15" hidden="false" customHeight="false" outlineLevel="0" collapsed="false">
      <c r="A30" s="9" t="n">
        <v>27</v>
      </c>
      <c r="B30" s="10" t="s">
        <v>52</v>
      </c>
      <c r="C30" s="10" t="s">
        <v>33</v>
      </c>
      <c r="D30" s="10" t="s">
        <v>45</v>
      </c>
      <c r="E30" s="10" t="s">
        <v>34</v>
      </c>
      <c r="F30" s="6"/>
      <c r="G30" s="9" t="n">
        <v>0</v>
      </c>
      <c r="H30" s="9" t="n">
        <v>1</v>
      </c>
      <c r="I30" s="9" t="n">
        <v>1</v>
      </c>
      <c r="J30" s="9" t="n">
        <v>21</v>
      </c>
      <c r="K30" s="10"/>
      <c r="L30" s="10"/>
    </row>
    <row r="31" customFormat="false" ht="15" hidden="false" customHeight="false" outlineLevel="0" collapsed="false">
      <c r="A31" s="7" t="n">
        <v>28</v>
      </c>
      <c r="B31" s="8" t="s">
        <v>53</v>
      </c>
      <c r="C31" s="8" t="s">
        <v>23</v>
      </c>
      <c r="D31" s="8" t="s">
        <v>54</v>
      </c>
      <c r="E31" s="8" t="s">
        <v>17</v>
      </c>
      <c r="F31" s="6"/>
      <c r="G31" s="7" t="n">
        <v>1</v>
      </c>
      <c r="H31" s="7" t="n">
        <v>0</v>
      </c>
      <c r="I31" s="7" t="n">
        <v>10</v>
      </c>
      <c r="J31" s="7" t="n">
        <v>14</v>
      </c>
      <c r="K31" s="8"/>
      <c r="L31" s="8"/>
    </row>
    <row r="32" customFormat="false" ht="15" hidden="false" customHeight="false" outlineLevel="0" collapsed="false">
      <c r="A32" s="7" t="n">
        <v>29</v>
      </c>
      <c r="B32" s="8" t="s">
        <v>55</v>
      </c>
      <c r="C32" s="8" t="s">
        <v>23</v>
      </c>
      <c r="D32" s="8" t="s">
        <v>54</v>
      </c>
      <c r="E32" s="8" t="s">
        <v>17</v>
      </c>
      <c r="F32" s="6"/>
      <c r="G32" s="7" t="n">
        <v>1</v>
      </c>
      <c r="H32" s="7" t="n">
        <v>0</v>
      </c>
      <c r="I32" s="7" t="n">
        <v>10</v>
      </c>
      <c r="J32" s="7" t="n">
        <v>7</v>
      </c>
      <c r="K32" s="8"/>
      <c r="L32" s="8"/>
    </row>
    <row r="33" customFormat="false" ht="15" hidden="false" customHeight="false" outlineLevel="0" collapsed="false">
      <c r="A33" s="7" t="n">
        <v>30</v>
      </c>
      <c r="B33" s="8" t="s">
        <v>56</v>
      </c>
      <c r="C33" s="8" t="s">
        <v>23</v>
      </c>
      <c r="D33" s="8" t="s">
        <v>54</v>
      </c>
      <c r="E33" s="8" t="s">
        <v>30</v>
      </c>
      <c r="F33" s="6"/>
      <c r="G33" s="7" t="n">
        <v>1</v>
      </c>
      <c r="H33" s="7" t="n">
        <v>0</v>
      </c>
      <c r="I33" s="7" t="n">
        <v>5</v>
      </c>
      <c r="J33" s="7" t="n">
        <v>21</v>
      </c>
      <c r="K33" s="8"/>
      <c r="L33" s="8"/>
    </row>
    <row r="34" customFormat="false" ht="15" hidden="false" customHeight="false" outlineLevel="0" collapsed="false">
      <c r="A34" s="7" t="n">
        <v>31</v>
      </c>
      <c r="B34" s="8" t="s">
        <v>57</v>
      </c>
      <c r="C34" s="8" t="s">
        <v>23</v>
      </c>
      <c r="D34" s="8" t="s">
        <v>54</v>
      </c>
      <c r="E34" s="8" t="s">
        <v>17</v>
      </c>
      <c r="F34" s="6"/>
      <c r="G34" s="7" t="n">
        <v>1</v>
      </c>
      <c r="H34" s="7" t="n">
        <v>0</v>
      </c>
      <c r="I34" s="7" t="n">
        <v>5</v>
      </c>
      <c r="J34" s="7" t="n">
        <v>14</v>
      </c>
      <c r="K34" s="8"/>
      <c r="L34" s="8"/>
    </row>
    <row r="35" customFormat="false" ht="15" hidden="false" customHeight="false" outlineLevel="0" collapsed="false">
      <c r="A35" s="7" t="n">
        <v>32</v>
      </c>
      <c r="B35" s="8" t="s">
        <v>58</v>
      </c>
      <c r="C35" s="8" t="s">
        <v>23</v>
      </c>
      <c r="D35" s="8" t="s">
        <v>54</v>
      </c>
      <c r="E35" s="8" t="s">
        <v>17</v>
      </c>
      <c r="F35" s="6"/>
      <c r="G35" s="7" t="n">
        <v>10</v>
      </c>
      <c r="H35" s="7" t="n">
        <v>0</v>
      </c>
      <c r="I35" s="7" t="n">
        <v>50</v>
      </c>
      <c r="J35" s="7" t="n">
        <v>7</v>
      </c>
      <c r="K35" s="8"/>
      <c r="L35" s="8" t="s">
        <v>59</v>
      </c>
    </row>
    <row r="36" customFormat="false" ht="15" hidden="false" customHeight="false" outlineLevel="0" collapsed="false">
      <c r="A36" s="7" t="n">
        <v>33</v>
      </c>
      <c r="B36" s="8" t="s">
        <v>60</v>
      </c>
      <c r="C36" s="8" t="s">
        <v>23</v>
      </c>
      <c r="D36" s="8" t="s">
        <v>54</v>
      </c>
      <c r="E36" s="8" t="s">
        <v>17</v>
      </c>
      <c r="F36" s="6"/>
      <c r="G36" s="7" t="n">
        <v>5</v>
      </c>
      <c r="H36" s="7" t="n">
        <v>0</v>
      </c>
      <c r="I36" s="7" t="n">
        <v>30</v>
      </c>
      <c r="J36" s="7" t="n">
        <v>7</v>
      </c>
      <c r="K36" s="8"/>
      <c r="L36" s="8"/>
    </row>
    <row r="37" customFormat="false" ht="15" hidden="false" customHeight="false" outlineLevel="0" collapsed="false">
      <c r="A37" s="7" t="n">
        <v>34</v>
      </c>
      <c r="B37" s="8" t="s">
        <v>61</v>
      </c>
      <c r="C37" s="8" t="s">
        <v>23</v>
      </c>
      <c r="D37" s="8" t="s">
        <v>54</v>
      </c>
      <c r="E37" s="8" t="s">
        <v>17</v>
      </c>
      <c r="F37" s="6"/>
      <c r="G37" s="7" t="n">
        <v>10</v>
      </c>
      <c r="H37" s="7" t="n">
        <v>0</v>
      </c>
      <c r="I37" s="7" t="n">
        <v>50</v>
      </c>
      <c r="J37" s="7" t="n">
        <v>5</v>
      </c>
      <c r="K37" s="8"/>
      <c r="L37" s="8"/>
    </row>
    <row r="38" customFormat="false" ht="15" hidden="false" customHeight="false" outlineLevel="0" collapsed="false">
      <c r="A38" s="7" t="n">
        <v>35</v>
      </c>
      <c r="B38" s="8" t="s">
        <v>62</v>
      </c>
      <c r="C38" s="8" t="s">
        <v>23</v>
      </c>
      <c r="D38" s="8" t="s">
        <v>54</v>
      </c>
      <c r="E38" s="8" t="s">
        <v>17</v>
      </c>
      <c r="F38" s="6"/>
      <c r="G38" s="7" t="n">
        <v>2</v>
      </c>
      <c r="H38" s="7" t="n">
        <v>0</v>
      </c>
      <c r="I38" s="7" t="n">
        <v>20</v>
      </c>
      <c r="J38" s="7" t="n">
        <v>7</v>
      </c>
      <c r="K38" s="8"/>
      <c r="L38" s="8"/>
    </row>
    <row r="39" customFormat="false" ht="15" hidden="false" customHeight="false" outlineLevel="0" collapsed="false">
      <c r="A39" s="9" t="n">
        <v>36</v>
      </c>
      <c r="B39" s="10" t="s">
        <v>36</v>
      </c>
      <c r="C39" s="10" t="s">
        <v>33</v>
      </c>
      <c r="D39" s="10" t="s">
        <v>54</v>
      </c>
      <c r="E39" s="10" t="s">
        <v>34</v>
      </c>
      <c r="F39" s="6"/>
      <c r="G39" s="9" t="n">
        <v>0</v>
      </c>
      <c r="H39" s="9" t="n">
        <v>4</v>
      </c>
      <c r="I39" s="9" t="n">
        <v>1</v>
      </c>
      <c r="J39" s="9" t="n">
        <v>21</v>
      </c>
      <c r="K39" s="10"/>
      <c r="L39" s="10"/>
    </row>
    <row r="40" customFormat="false" ht="15" hidden="false" customHeight="false" outlineLevel="0" collapsed="false">
      <c r="A40" s="7" t="n">
        <v>37</v>
      </c>
      <c r="B40" s="8" t="s">
        <v>63</v>
      </c>
      <c r="C40" s="8" t="s">
        <v>23</v>
      </c>
      <c r="D40" s="8" t="s">
        <v>64</v>
      </c>
      <c r="E40" s="8" t="s">
        <v>17</v>
      </c>
      <c r="F40" s="6"/>
      <c r="G40" s="7" t="n">
        <v>1</v>
      </c>
      <c r="H40" s="7" t="n">
        <v>0</v>
      </c>
      <c r="I40" s="7" t="n">
        <v>10</v>
      </c>
      <c r="J40" s="7" t="n">
        <v>14</v>
      </c>
      <c r="K40" s="8"/>
      <c r="L40" s="8"/>
    </row>
    <row r="41" customFormat="false" ht="15" hidden="false" customHeight="false" outlineLevel="0" collapsed="false">
      <c r="A41" s="7" t="n">
        <v>38</v>
      </c>
      <c r="B41" s="8" t="s">
        <v>25</v>
      </c>
      <c r="C41" s="8" t="s">
        <v>23</v>
      </c>
      <c r="D41" s="8" t="s">
        <v>64</v>
      </c>
      <c r="E41" s="8" t="s">
        <v>17</v>
      </c>
      <c r="F41" s="6"/>
      <c r="G41" s="7" t="n">
        <v>2</v>
      </c>
      <c r="H41" s="7" t="n">
        <v>0</v>
      </c>
      <c r="I41" s="7" t="n">
        <v>20</v>
      </c>
      <c r="J41" s="7" t="n">
        <v>7</v>
      </c>
      <c r="K41" s="8"/>
      <c r="L41" s="8"/>
    </row>
    <row r="42" customFormat="false" ht="15" hidden="false" customHeight="false" outlineLevel="0" collapsed="false">
      <c r="A42" s="7" t="n">
        <v>39</v>
      </c>
      <c r="B42" s="8" t="s">
        <v>26</v>
      </c>
      <c r="C42" s="8" t="s">
        <v>23</v>
      </c>
      <c r="D42" s="8" t="s">
        <v>64</v>
      </c>
      <c r="E42" s="8" t="s">
        <v>17</v>
      </c>
      <c r="F42" s="6"/>
      <c r="G42" s="7" t="n">
        <v>2</v>
      </c>
      <c r="H42" s="7" t="n">
        <v>0</v>
      </c>
      <c r="I42" s="7" t="n">
        <v>20</v>
      </c>
      <c r="J42" s="7" t="n">
        <v>7</v>
      </c>
      <c r="K42" s="8"/>
      <c r="L42" s="8"/>
    </row>
    <row r="43" customFormat="false" ht="15" hidden="false" customHeight="false" outlineLevel="0" collapsed="false">
      <c r="A43" s="7" t="n">
        <v>40</v>
      </c>
      <c r="B43" s="8" t="s">
        <v>28</v>
      </c>
      <c r="C43" s="8" t="s">
        <v>23</v>
      </c>
      <c r="D43" s="8" t="s">
        <v>64</v>
      </c>
      <c r="E43" s="8" t="s">
        <v>17</v>
      </c>
      <c r="F43" s="6"/>
      <c r="G43" s="7" t="n">
        <v>1</v>
      </c>
      <c r="H43" s="7" t="n">
        <v>0</v>
      </c>
      <c r="I43" s="7" t="n">
        <v>10</v>
      </c>
      <c r="J43" s="7" t="n">
        <v>14</v>
      </c>
      <c r="K43" s="8"/>
      <c r="L43" s="8"/>
    </row>
    <row r="44" customFormat="false" ht="15" hidden="false" customHeight="false" outlineLevel="0" collapsed="false">
      <c r="A44" s="7" t="n">
        <v>41</v>
      </c>
      <c r="B44" s="8" t="s">
        <v>29</v>
      </c>
      <c r="C44" s="8" t="s">
        <v>23</v>
      </c>
      <c r="D44" s="8" t="s">
        <v>64</v>
      </c>
      <c r="E44" s="8" t="s">
        <v>30</v>
      </c>
      <c r="F44" s="6"/>
      <c r="G44" s="7" t="n">
        <v>1</v>
      </c>
      <c r="H44" s="7" t="n">
        <v>0</v>
      </c>
      <c r="I44" s="7" t="n">
        <v>5</v>
      </c>
      <c r="J44" s="7" t="n">
        <v>21</v>
      </c>
      <c r="K44" s="8"/>
      <c r="L44" s="8"/>
    </row>
    <row r="45" customFormat="false" ht="15" hidden="false" customHeight="false" outlineLevel="0" collapsed="false">
      <c r="A45" s="9" t="n">
        <v>42</v>
      </c>
      <c r="B45" s="10" t="s">
        <v>32</v>
      </c>
      <c r="C45" s="10" t="s">
        <v>33</v>
      </c>
      <c r="D45" s="10" t="s">
        <v>64</v>
      </c>
      <c r="E45" s="10" t="s">
        <v>34</v>
      </c>
      <c r="F45" s="6"/>
      <c r="G45" s="9" t="n">
        <v>0</v>
      </c>
      <c r="H45" s="9" t="n">
        <v>4</v>
      </c>
      <c r="I45" s="9" t="n">
        <v>1</v>
      </c>
      <c r="J45" s="9" t="n">
        <v>14</v>
      </c>
      <c r="K45" s="10"/>
      <c r="L45" s="10"/>
    </row>
    <row r="46" customFormat="false" ht="15" hidden="false" customHeight="false" outlineLevel="0" collapsed="false">
      <c r="A46" s="9" t="n">
        <v>43</v>
      </c>
      <c r="B46" s="10" t="s">
        <v>36</v>
      </c>
      <c r="C46" s="10" t="s">
        <v>33</v>
      </c>
      <c r="D46" s="10" t="s">
        <v>64</v>
      </c>
      <c r="E46" s="10" t="s">
        <v>34</v>
      </c>
      <c r="F46" s="6"/>
      <c r="G46" s="9" t="n">
        <v>0</v>
      </c>
      <c r="H46" s="9" t="n">
        <v>6</v>
      </c>
      <c r="I46" s="9" t="n">
        <v>1</v>
      </c>
      <c r="J46" s="9" t="n">
        <v>21</v>
      </c>
      <c r="K46" s="10"/>
      <c r="L46" s="10"/>
    </row>
    <row r="47" customFormat="false" ht="15" hidden="false" customHeight="false" outlineLevel="0" collapsed="false">
      <c r="A47" s="9" t="n">
        <v>44</v>
      </c>
      <c r="B47" s="10" t="s">
        <v>38</v>
      </c>
      <c r="C47" s="10" t="s">
        <v>33</v>
      </c>
      <c r="D47" s="10" t="s">
        <v>64</v>
      </c>
      <c r="E47" s="10" t="s">
        <v>34</v>
      </c>
      <c r="F47" s="6"/>
      <c r="G47" s="9" t="n">
        <v>0</v>
      </c>
      <c r="H47" s="9" t="n">
        <v>1</v>
      </c>
      <c r="I47" s="9" t="n">
        <v>1</v>
      </c>
      <c r="J47" s="9" t="n">
        <v>14</v>
      </c>
      <c r="K47" s="10"/>
      <c r="L47" s="10"/>
    </row>
    <row r="48" customFormat="false" ht="15" hidden="false" customHeight="false" outlineLevel="0" collapsed="false">
      <c r="A48" s="9" t="n">
        <v>45</v>
      </c>
      <c r="B48" s="10" t="s">
        <v>40</v>
      </c>
      <c r="C48" s="10" t="s">
        <v>33</v>
      </c>
      <c r="D48" s="10" t="s">
        <v>64</v>
      </c>
      <c r="E48" s="10" t="s">
        <v>34</v>
      </c>
      <c r="F48" s="6"/>
      <c r="G48" s="9" t="n">
        <v>0</v>
      </c>
      <c r="H48" s="9" t="n">
        <v>2</v>
      </c>
      <c r="I48" s="9" t="n">
        <v>1</v>
      </c>
      <c r="J48" s="9" t="n">
        <v>30</v>
      </c>
      <c r="K48" s="10"/>
      <c r="L48" s="10"/>
    </row>
    <row r="49" customFormat="false" ht="15" hidden="false" customHeight="false" outlineLevel="0" collapsed="false">
      <c r="A49" s="9" t="n">
        <v>46</v>
      </c>
      <c r="B49" s="10" t="s">
        <v>42</v>
      </c>
      <c r="C49" s="10" t="s">
        <v>33</v>
      </c>
      <c r="D49" s="10" t="s">
        <v>64</v>
      </c>
      <c r="E49" s="10" t="s">
        <v>34</v>
      </c>
      <c r="F49" s="6"/>
      <c r="G49" s="9" t="n">
        <v>0</v>
      </c>
      <c r="H49" s="9" t="n">
        <v>2</v>
      </c>
      <c r="I49" s="9" t="n">
        <v>1</v>
      </c>
      <c r="J49" s="9" t="n">
        <v>21</v>
      </c>
      <c r="K49" s="10"/>
      <c r="L49" s="10"/>
    </row>
    <row r="50" customFormat="false" ht="15" hidden="false" customHeight="false" outlineLevel="0" collapsed="false">
      <c r="A50" s="9" t="n">
        <v>47</v>
      </c>
      <c r="B50" s="10" t="s">
        <v>43</v>
      </c>
      <c r="C50" s="10" t="s">
        <v>33</v>
      </c>
      <c r="D50" s="10" t="s">
        <v>64</v>
      </c>
      <c r="E50" s="10" t="s">
        <v>34</v>
      </c>
      <c r="F50" s="6"/>
      <c r="G50" s="9" t="n">
        <v>0</v>
      </c>
      <c r="H50" s="9" t="n">
        <v>2</v>
      </c>
      <c r="I50" s="9" t="n">
        <v>1</v>
      </c>
      <c r="J50" s="9" t="n">
        <v>21</v>
      </c>
      <c r="K50" s="10"/>
      <c r="L50" s="10"/>
    </row>
    <row r="51" customFormat="false" ht="15" hidden="false" customHeight="false" outlineLevel="0" collapsed="false">
      <c r="A51" s="7" t="n">
        <v>48</v>
      </c>
      <c r="B51" s="8" t="s">
        <v>65</v>
      </c>
      <c r="C51" s="8" t="s">
        <v>23</v>
      </c>
      <c r="D51" s="8" t="s">
        <v>66</v>
      </c>
      <c r="E51" s="8" t="s">
        <v>17</v>
      </c>
      <c r="F51" s="6"/>
      <c r="G51" s="7" t="n">
        <v>1</v>
      </c>
      <c r="H51" s="7" t="n">
        <v>0</v>
      </c>
      <c r="I51" s="7" t="n">
        <v>10</v>
      </c>
      <c r="J51" s="7" t="n">
        <v>14</v>
      </c>
      <c r="K51" s="8"/>
      <c r="L51" s="8"/>
    </row>
    <row r="52" customFormat="false" ht="15" hidden="false" customHeight="false" outlineLevel="0" collapsed="false">
      <c r="A52" s="9" t="n">
        <v>49</v>
      </c>
      <c r="B52" s="10" t="s">
        <v>32</v>
      </c>
      <c r="C52" s="10" t="s">
        <v>33</v>
      </c>
      <c r="D52" s="10" t="s">
        <v>66</v>
      </c>
      <c r="E52" s="10" t="s">
        <v>34</v>
      </c>
      <c r="F52" s="6"/>
      <c r="G52" s="9" t="n">
        <v>0</v>
      </c>
      <c r="H52" s="9" t="n">
        <v>4</v>
      </c>
      <c r="I52" s="9" t="n">
        <v>1</v>
      </c>
      <c r="J52" s="9" t="n">
        <v>14</v>
      </c>
      <c r="K52" s="10"/>
      <c r="L52" s="10"/>
    </row>
    <row r="53" customFormat="false" ht="15" hidden="false" customHeight="false" outlineLevel="0" collapsed="false">
      <c r="A53" s="9" t="n">
        <v>50</v>
      </c>
      <c r="B53" s="10" t="s">
        <v>36</v>
      </c>
      <c r="C53" s="10" t="s">
        <v>33</v>
      </c>
      <c r="D53" s="10" t="s">
        <v>66</v>
      </c>
      <c r="E53" s="10" t="s">
        <v>34</v>
      </c>
      <c r="F53" s="6"/>
      <c r="G53" s="9" t="n">
        <v>0</v>
      </c>
      <c r="H53" s="9" t="n">
        <v>6</v>
      </c>
      <c r="I53" s="9" t="n">
        <v>1</v>
      </c>
      <c r="J53" s="9" t="n">
        <v>21</v>
      </c>
      <c r="K53" s="10"/>
      <c r="L53" s="10"/>
    </row>
    <row r="54" customFormat="false" ht="15" hidden="false" customHeight="false" outlineLevel="0" collapsed="false">
      <c r="A54" s="9" t="n">
        <v>51</v>
      </c>
      <c r="B54" s="10" t="s">
        <v>38</v>
      </c>
      <c r="C54" s="10" t="s">
        <v>33</v>
      </c>
      <c r="D54" s="10" t="s">
        <v>66</v>
      </c>
      <c r="E54" s="10" t="s">
        <v>34</v>
      </c>
      <c r="F54" s="6"/>
      <c r="G54" s="9" t="n">
        <v>0</v>
      </c>
      <c r="H54" s="9" t="n">
        <v>1</v>
      </c>
      <c r="I54" s="9" t="n">
        <v>1</v>
      </c>
      <c r="J54" s="9" t="n">
        <v>14</v>
      </c>
      <c r="K54" s="10"/>
      <c r="L54" s="10"/>
    </row>
    <row r="55" customFormat="false" ht="15" hidden="false" customHeight="false" outlineLevel="0" collapsed="false">
      <c r="A55" s="7" t="n">
        <v>52</v>
      </c>
      <c r="B55" s="8" t="s">
        <v>67</v>
      </c>
      <c r="C55" s="8" t="s">
        <v>23</v>
      </c>
      <c r="D55" s="8" t="s">
        <v>68</v>
      </c>
      <c r="E55" s="8" t="s">
        <v>17</v>
      </c>
      <c r="F55" s="6"/>
      <c r="G55" s="7" t="n">
        <v>1</v>
      </c>
      <c r="H55" s="7" t="n">
        <v>0</v>
      </c>
      <c r="I55" s="7" t="n">
        <v>10</v>
      </c>
      <c r="J55" s="7" t="n">
        <v>14</v>
      </c>
      <c r="K55" s="8"/>
      <c r="L55" s="8"/>
    </row>
    <row r="56" customFormat="false" ht="15" hidden="false" customHeight="false" outlineLevel="0" collapsed="false">
      <c r="A56" s="7" t="n">
        <v>53</v>
      </c>
      <c r="B56" s="8" t="s">
        <v>27</v>
      </c>
      <c r="C56" s="8" t="s">
        <v>23</v>
      </c>
      <c r="D56" s="8" t="s">
        <v>68</v>
      </c>
      <c r="E56" s="8" t="s">
        <v>17</v>
      </c>
      <c r="F56" s="6"/>
      <c r="G56" s="7" t="n">
        <v>1</v>
      </c>
      <c r="H56" s="7" t="n">
        <v>0</v>
      </c>
      <c r="I56" s="7" t="n">
        <v>10</v>
      </c>
      <c r="J56" s="7" t="n">
        <v>10</v>
      </c>
      <c r="K56" s="8"/>
      <c r="L56" s="8"/>
    </row>
    <row r="57" customFormat="false" ht="15" hidden="false" customHeight="false" outlineLevel="0" collapsed="false">
      <c r="A57" s="7" t="n">
        <v>54</v>
      </c>
      <c r="B57" s="8" t="s">
        <v>69</v>
      </c>
      <c r="C57" s="8" t="s">
        <v>23</v>
      </c>
      <c r="D57" s="8" t="s">
        <v>68</v>
      </c>
      <c r="E57" s="8" t="s">
        <v>17</v>
      </c>
      <c r="F57" s="6"/>
      <c r="G57" s="7" t="n">
        <v>1</v>
      </c>
      <c r="H57" s="7" t="n">
        <v>0</v>
      </c>
      <c r="I57" s="7" t="n">
        <v>20</v>
      </c>
      <c r="J57" s="7" t="n">
        <v>7</v>
      </c>
      <c r="K57" s="8"/>
      <c r="L57" s="8"/>
    </row>
    <row r="58" customFormat="false" ht="15" hidden="false" customHeight="false" outlineLevel="0" collapsed="false">
      <c r="A58" s="9" t="n">
        <v>55</v>
      </c>
      <c r="B58" s="10" t="s">
        <v>32</v>
      </c>
      <c r="C58" s="10" t="s">
        <v>33</v>
      </c>
      <c r="D58" s="10" t="s">
        <v>68</v>
      </c>
      <c r="E58" s="10" t="s">
        <v>34</v>
      </c>
      <c r="F58" s="6"/>
      <c r="G58" s="9" t="n">
        <v>0</v>
      </c>
      <c r="H58" s="9" t="n">
        <v>4</v>
      </c>
      <c r="I58" s="9" t="n">
        <v>1</v>
      </c>
      <c r="J58" s="9" t="n">
        <v>14</v>
      </c>
      <c r="K58" s="10"/>
      <c r="L58" s="10"/>
    </row>
    <row r="59" customFormat="false" ht="15" hidden="false" customHeight="false" outlineLevel="0" collapsed="false">
      <c r="A59" s="9" t="n">
        <v>56</v>
      </c>
      <c r="B59" s="10" t="s">
        <v>36</v>
      </c>
      <c r="C59" s="10" t="s">
        <v>33</v>
      </c>
      <c r="D59" s="10" t="s">
        <v>68</v>
      </c>
      <c r="E59" s="10" t="s">
        <v>34</v>
      </c>
      <c r="F59" s="6"/>
      <c r="G59" s="9" t="n">
        <v>0</v>
      </c>
      <c r="H59" s="9" t="n">
        <v>6</v>
      </c>
      <c r="I59" s="9" t="n">
        <v>1</v>
      </c>
      <c r="J59" s="9" t="n">
        <v>21</v>
      </c>
      <c r="K59" s="10"/>
      <c r="L59" s="10"/>
    </row>
    <row r="60" customFormat="false" ht="15" hidden="false" customHeight="false" outlineLevel="0" collapsed="false">
      <c r="A60" s="9" t="n">
        <v>57</v>
      </c>
      <c r="B60" s="10" t="s">
        <v>70</v>
      </c>
      <c r="C60" s="10" t="s">
        <v>33</v>
      </c>
      <c r="D60" s="10" t="s">
        <v>68</v>
      </c>
      <c r="E60" s="10" t="s">
        <v>34</v>
      </c>
      <c r="F60" s="6"/>
      <c r="G60" s="9" t="n">
        <v>0</v>
      </c>
      <c r="H60" s="9" t="n">
        <v>2</v>
      </c>
      <c r="I60" s="9" t="n">
        <v>1</v>
      </c>
      <c r="J60" s="9" t="n">
        <v>21</v>
      </c>
      <c r="K60" s="10"/>
      <c r="L60" s="10"/>
    </row>
    <row r="61" customFormat="false" ht="15" hidden="false" customHeight="false" outlineLevel="0" collapsed="false">
      <c r="A61" s="9" t="n">
        <v>58</v>
      </c>
      <c r="B61" s="10" t="s">
        <v>71</v>
      </c>
      <c r="C61" s="10" t="s">
        <v>33</v>
      </c>
      <c r="D61" s="10" t="s">
        <v>68</v>
      </c>
      <c r="E61" s="10" t="s">
        <v>34</v>
      </c>
      <c r="F61" s="6"/>
      <c r="G61" s="9" t="n">
        <v>0</v>
      </c>
      <c r="H61" s="9" t="n">
        <v>2</v>
      </c>
      <c r="I61" s="9" t="n">
        <v>1</v>
      </c>
      <c r="J61" s="9" t="n">
        <v>21</v>
      </c>
      <c r="K61" s="10"/>
      <c r="L61" s="10"/>
    </row>
    <row r="62" customFormat="false" ht="15" hidden="false" customHeight="false" outlineLevel="0" collapsed="false">
      <c r="A62" s="7" t="n">
        <v>59</v>
      </c>
      <c r="B62" s="8" t="s">
        <v>72</v>
      </c>
      <c r="C62" s="8" t="s">
        <v>23</v>
      </c>
      <c r="D62" s="8" t="s">
        <v>73</v>
      </c>
      <c r="E62" s="8" t="s">
        <v>17</v>
      </c>
      <c r="F62" s="6"/>
      <c r="G62" s="7" t="n">
        <v>1</v>
      </c>
      <c r="H62" s="7" t="n">
        <v>0</v>
      </c>
      <c r="I62" s="7" t="n">
        <v>10</v>
      </c>
      <c r="J62" s="7" t="n">
        <v>14</v>
      </c>
      <c r="K62" s="8"/>
      <c r="L62" s="8"/>
    </row>
    <row r="63" customFormat="false" ht="15" hidden="false" customHeight="false" outlineLevel="0" collapsed="false">
      <c r="A63" s="9" t="n">
        <v>60</v>
      </c>
      <c r="B63" s="10" t="s">
        <v>32</v>
      </c>
      <c r="C63" s="10" t="s">
        <v>33</v>
      </c>
      <c r="D63" s="10" t="s">
        <v>73</v>
      </c>
      <c r="E63" s="10" t="s">
        <v>34</v>
      </c>
      <c r="F63" s="6"/>
      <c r="G63" s="9" t="n">
        <v>0</v>
      </c>
      <c r="H63" s="9" t="n">
        <v>4</v>
      </c>
      <c r="I63" s="9" t="n">
        <v>1</v>
      </c>
      <c r="J63" s="9" t="n">
        <v>14</v>
      </c>
      <c r="K63" s="10"/>
      <c r="L63" s="10"/>
    </row>
    <row r="64" customFormat="false" ht="15" hidden="false" customHeight="false" outlineLevel="0" collapsed="false">
      <c r="A64" s="9" t="n">
        <v>61</v>
      </c>
      <c r="B64" s="10" t="s">
        <v>36</v>
      </c>
      <c r="C64" s="10" t="s">
        <v>33</v>
      </c>
      <c r="D64" s="10" t="s">
        <v>73</v>
      </c>
      <c r="E64" s="10" t="s">
        <v>34</v>
      </c>
      <c r="F64" s="6"/>
      <c r="G64" s="9" t="n">
        <v>0</v>
      </c>
      <c r="H64" s="9" t="n">
        <v>6</v>
      </c>
      <c r="I64" s="9" t="n">
        <v>1</v>
      </c>
      <c r="J64" s="9" t="n">
        <v>21</v>
      </c>
      <c r="K64" s="10"/>
      <c r="L64" s="10"/>
    </row>
    <row r="65" customFormat="false" ht="15" hidden="false" customHeight="false" outlineLevel="0" collapsed="false">
      <c r="A65" s="9" t="n">
        <v>62</v>
      </c>
      <c r="B65" s="10" t="s">
        <v>38</v>
      </c>
      <c r="C65" s="10" t="s">
        <v>33</v>
      </c>
      <c r="D65" s="10" t="s">
        <v>73</v>
      </c>
      <c r="E65" s="10" t="s">
        <v>34</v>
      </c>
      <c r="F65" s="6"/>
      <c r="G65" s="9" t="n">
        <v>0</v>
      </c>
      <c r="H65" s="9" t="n">
        <v>1</v>
      </c>
      <c r="I65" s="9" t="n">
        <v>1</v>
      </c>
      <c r="J65" s="9" t="n">
        <v>14</v>
      </c>
      <c r="K65" s="10"/>
      <c r="L65" s="10"/>
    </row>
    <row r="66" customFormat="false" ht="15" hidden="false" customHeight="false" outlineLevel="0" collapsed="false">
      <c r="A66" s="9" t="n">
        <v>63</v>
      </c>
      <c r="B66" s="10" t="s">
        <v>49</v>
      </c>
      <c r="C66" s="10" t="s">
        <v>33</v>
      </c>
      <c r="D66" s="10" t="s">
        <v>73</v>
      </c>
      <c r="E66" s="10" t="s">
        <v>34</v>
      </c>
      <c r="F66" s="6"/>
      <c r="G66" s="9" t="n">
        <v>0</v>
      </c>
      <c r="H66" s="9" t="n">
        <v>1</v>
      </c>
      <c r="I66" s="9" t="n">
        <v>1</v>
      </c>
      <c r="J66" s="9" t="n">
        <v>30</v>
      </c>
      <c r="K66" s="10"/>
      <c r="L66" s="10"/>
    </row>
    <row r="67" customFormat="false" ht="15" hidden="false" customHeight="false" outlineLevel="0" collapsed="false">
      <c r="A67" s="9" t="n">
        <v>64</v>
      </c>
      <c r="B67" s="10" t="s">
        <v>40</v>
      </c>
      <c r="C67" s="10" t="s">
        <v>33</v>
      </c>
      <c r="D67" s="10" t="s">
        <v>73</v>
      </c>
      <c r="E67" s="10" t="s">
        <v>34</v>
      </c>
      <c r="F67" s="6"/>
      <c r="G67" s="9" t="n">
        <v>0</v>
      </c>
      <c r="H67" s="9" t="n">
        <v>2</v>
      </c>
      <c r="I67" s="9" t="n">
        <v>1</v>
      </c>
      <c r="J67" s="9" t="n">
        <v>30</v>
      </c>
      <c r="K67" s="10"/>
      <c r="L67" s="10"/>
    </row>
    <row r="68" customFormat="false" ht="15" hidden="false" customHeight="false" outlineLevel="0" collapsed="false">
      <c r="A68" s="9" t="n">
        <v>65</v>
      </c>
      <c r="B68" s="10" t="s">
        <v>50</v>
      </c>
      <c r="C68" s="10" t="s">
        <v>33</v>
      </c>
      <c r="D68" s="10" t="s">
        <v>73</v>
      </c>
      <c r="E68" s="10" t="s">
        <v>34</v>
      </c>
      <c r="F68" s="6"/>
      <c r="G68" s="9" t="n">
        <v>0</v>
      </c>
      <c r="H68" s="9" t="n">
        <v>1</v>
      </c>
      <c r="I68" s="9" t="n">
        <v>1</v>
      </c>
      <c r="J68" s="9" t="n">
        <v>30</v>
      </c>
      <c r="K68" s="10"/>
      <c r="L68" s="10"/>
    </row>
    <row r="69" customFormat="false" ht="15" hidden="false" customHeight="false" outlineLevel="0" collapsed="false">
      <c r="A69" s="7" t="n">
        <v>66</v>
      </c>
      <c r="B69" s="8" t="s">
        <v>74</v>
      </c>
      <c r="C69" s="8" t="s">
        <v>23</v>
      </c>
      <c r="D69" s="8" t="s">
        <v>75</v>
      </c>
      <c r="E69" s="8" t="s">
        <v>17</v>
      </c>
      <c r="F69" s="6"/>
      <c r="G69" s="7" t="n">
        <v>1</v>
      </c>
      <c r="H69" s="7" t="n">
        <v>0</v>
      </c>
      <c r="I69" s="7" t="n">
        <v>5</v>
      </c>
      <c r="J69" s="7" t="n">
        <v>14</v>
      </c>
      <c r="K69" s="8"/>
      <c r="L69" s="8"/>
    </row>
    <row r="70" customFormat="false" ht="15" hidden="false" customHeight="false" outlineLevel="0" collapsed="false">
      <c r="A70" s="9" t="n">
        <v>67</v>
      </c>
      <c r="B70" s="10" t="s">
        <v>76</v>
      </c>
      <c r="C70" s="10" t="s">
        <v>33</v>
      </c>
      <c r="D70" s="10" t="s">
        <v>75</v>
      </c>
      <c r="E70" s="10" t="s">
        <v>34</v>
      </c>
      <c r="F70" s="6"/>
      <c r="G70" s="9" t="n">
        <v>0</v>
      </c>
      <c r="H70" s="9" t="n">
        <v>1</v>
      </c>
      <c r="I70" s="9" t="n">
        <v>0</v>
      </c>
      <c r="J70" s="9" t="n">
        <v>45</v>
      </c>
      <c r="K70" s="10"/>
      <c r="L70" s="10" t="s">
        <v>77</v>
      </c>
    </row>
    <row r="71" customFormat="false" ht="15" hidden="false" customHeight="false" outlineLevel="0" collapsed="false">
      <c r="A71" s="7" t="n">
        <v>68</v>
      </c>
      <c r="B71" s="8" t="s">
        <v>78</v>
      </c>
      <c r="C71" s="8" t="s">
        <v>23</v>
      </c>
      <c r="D71" s="8" t="s">
        <v>79</v>
      </c>
      <c r="E71" s="8" t="s">
        <v>17</v>
      </c>
      <c r="F71" s="6"/>
      <c r="G71" s="7" t="n">
        <v>1</v>
      </c>
      <c r="H71" s="7" t="n">
        <v>0</v>
      </c>
      <c r="I71" s="7" t="n">
        <v>5</v>
      </c>
      <c r="J71" s="7" t="n">
        <v>14</v>
      </c>
      <c r="K71" s="8"/>
      <c r="L71" s="8"/>
    </row>
    <row r="72" customFormat="false" ht="15" hidden="false" customHeight="false" outlineLevel="0" collapsed="false">
      <c r="A72" s="7" t="n">
        <v>69</v>
      </c>
      <c r="B72" s="8" t="s">
        <v>80</v>
      </c>
      <c r="C72" s="8" t="s">
        <v>23</v>
      </c>
      <c r="D72" s="8" t="s">
        <v>81</v>
      </c>
      <c r="E72" s="8" t="s">
        <v>17</v>
      </c>
      <c r="F72" s="6"/>
      <c r="G72" s="7" t="n">
        <v>1</v>
      </c>
      <c r="H72" s="7" t="n">
        <v>0</v>
      </c>
      <c r="I72" s="7" t="n">
        <v>10</v>
      </c>
      <c r="J72" s="7" t="n">
        <v>14</v>
      </c>
      <c r="K72" s="8"/>
      <c r="L72" s="8"/>
    </row>
    <row r="73" customFormat="false" ht="15" hidden="false" customHeight="false" outlineLevel="0" collapsed="false">
      <c r="A73" s="7" t="n">
        <v>70</v>
      </c>
      <c r="B73" s="8" t="s">
        <v>82</v>
      </c>
      <c r="C73" s="8" t="s">
        <v>23</v>
      </c>
      <c r="D73" s="8" t="s">
        <v>81</v>
      </c>
      <c r="E73" s="8" t="s">
        <v>17</v>
      </c>
      <c r="F73" s="6"/>
      <c r="G73" s="7" t="n">
        <v>2</v>
      </c>
      <c r="H73" s="7" t="n">
        <v>0</v>
      </c>
      <c r="I73" s="7" t="n">
        <v>20</v>
      </c>
      <c r="J73" s="7" t="n">
        <v>7</v>
      </c>
      <c r="K73" s="8"/>
      <c r="L73" s="8"/>
    </row>
    <row r="74" customFormat="false" ht="15" hidden="false" customHeight="false" outlineLevel="0" collapsed="false">
      <c r="A74" s="7" t="n">
        <v>71</v>
      </c>
      <c r="B74" s="8" t="s">
        <v>83</v>
      </c>
      <c r="C74" s="8" t="s">
        <v>23</v>
      </c>
      <c r="D74" s="8" t="s">
        <v>81</v>
      </c>
      <c r="E74" s="8" t="s">
        <v>30</v>
      </c>
      <c r="F74" s="6"/>
      <c r="G74" s="7" t="n">
        <v>1</v>
      </c>
      <c r="H74" s="7" t="n">
        <v>0</v>
      </c>
      <c r="I74" s="7" t="n">
        <v>5</v>
      </c>
      <c r="J74" s="7" t="n">
        <v>21</v>
      </c>
      <c r="K74" s="8"/>
      <c r="L74" s="8"/>
    </row>
    <row r="75" customFormat="false" ht="15" hidden="false" customHeight="false" outlineLevel="0" collapsed="false">
      <c r="A75" s="9" t="n">
        <v>72</v>
      </c>
      <c r="B75" s="10" t="s">
        <v>36</v>
      </c>
      <c r="C75" s="10" t="s">
        <v>33</v>
      </c>
      <c r="D75" s="10" t="s">
        <v>81</v>
      </c>
      <c r="E75" s="10" t="s">
        <v>34</v>
      </c>
      <c r="F75" s="6"/>
      <c r="G75" s="9" t="n">
        <v>0</v>
      </c>
      <c r="H75" s="9" t="n">
        <v>4</v>
      </c>
      <c r="I75" s="9" t="n">
        <v>1</v>
      </c>
      <c r="J75" s="9" t="n">
        <v>21</v>
      </c>
      <c r="K75" s="10"/>
      <c r="L75" s="10"/>
    </row>
    <row r="76" customFormat="false" ht="15" hidden="false" customHeight="false" outlineLevel="0" collapsed="false">
      <c r="A76" s="9" t="n">
        <v>73</v>
      </c>
      <c r="B76" s="10" t="s">
        <v>84</v>
      </c>
      <c r="C76" s="10" t="s">
        <v>33</v>
      </c>
      <c r="D76" s="10" t="s">
        <v>81</v>
      </c>
      <c r="E76" s="10" t="s">
        <v>34</v>
      </c>
      <c r="F76" s="6"/>
      <c r="G76" s="9" t="n">
        <v>0</v>
      </c>
      <c r="H76" s="9" t="n">
        <v>2</v>
      </c>
      <c r="I76" s="9" t="n">
        <v>1</v>
      </c>
      <c r="J76" s="9" t="n">
        <v>21</v>
      </c>
      <c r="K76" s="10"/>
      <c r="L76" s="10"/>
    </row>
    <row r="77" customFormat="false" ht="15" hidden="false" customHeight="false" outlineLevel="0" collapsed="false">
      <c r="A77" s="11" t="n">
        <v>74</v>
      </c>
      <c r="B77" s="12" t="s">
        <v>85</v>
      </c>
      <c r="C77" s="12" t="s">
        <v>86</v>
      </c>
      <c r="D77" s="12" t="s">
        <v>16</v>
      </c>
      <c r="E77" s="12" t="s">
        <v>17</v>
      </c>
      <c r="F77" s="6"/>
      <c r="G77" s="11" t="n">
        <v>1</v>
      </c>
      <c r="H77" s="11" t="n">
        <v>0</v>
      </c>
      <c r="I77" s="11" t="n">
        <v>5</v>
      </c>
      <c r="J77" s="11" t="n">
        <v>14</v>
      </c>
      <c r="K77" s="12"/>
      <c r="L77" s="12" t="s">
        <v>87</v>
      </c>
    </row>
    <row r="78" customFormat="false" ht="15" hidden="false" customHeight="false" outlineLevel="0" collapsed="false">
      <c r="A78" s="11" t="n">
        <v>75</v>
      </c>
      <c r="B78" s="12" t="s">
        <v>88</v>
      </c>
      <c r="C78" s="12" t="s">
        <v>86</v>
      </c>
      <c r="D78" s="12" t="s">
        <v>16</v>
      </c>
      <c r="E78" s="12" t="s">
        <v>17</v>
      </c>
      <c r="F78" s="6"/>
      <c r="G78" s="11" t="n">
        <v>1</v>
      </c>
      <c r="H78" s="11" t="n">
        <v>0</v>
      </c>
      <c r="I78" s="11" t="n">
        <v>5</v>
      </c>
      <c r="J78" s="11" t="n">
        <v>14</v>
      </c>
      <c r="K78" s="12"/>
      <c r="L78" s="12" t="s">
        <v>89</v>
      </c>
    </row>
    <row r="79" customFormat="false" ht="15" hidden="false" customHeight="false" outlineLevel="0" collapsed="false">
      <c r="A79" s="11" t="n">
        <v>76</v>
      </c>
      <c r="B79" s="12" t="s">
        <v>90</v>
      </c>
      <c r="C79" s="12" t="s">
        <v>86</v>
      </c>
      <c r="D79" s="12" t="s">
        <v>16</v>
      </c>
      <c r="E79" s="12" t="s">
        <v>17</v>
      </c>
      <c r="F79" s="6"/>
      <c r="G79" s="11" t="n">
        <v>1</v>
      </c>
      <c r="H79" s="11" t="n">
        <v>0</v>
      </c>
      <c r="I79" s="11" t="n">
        <v>5</v>
      </c>
      <c r="J79" s="11" t="n">
        <v>21</v>
      </c>
      <c r="K79" s="12"/>
      <c r="L79" s="12" t="s">
        <v>91</v>
      </c>
    </row>
    <row r="80" customFormat="false" ht="15" hidden="false" customHeight="false" outlineLevel="0" collapsed="false">
      <c r="A80" s="11" t="n">
        <v>77</v>
      </c>
      <c r="B80" s="12" t="s">
        <v>92</v>
      </c>
      <c r="C80" s="12" t="s">
        <v>86</v>
      </c>
      <c r="D80" s="12" t="s">
        <v>16</v>
      </c>
      <c r="E80" s="12" t="s">
        <v>17</v>
      </c>
      <c r="F80" s="6"/>
      <c r="G80" s="11" t="n">
        <v>1</v>
      </c>
      <c r="H80" s="11" t="n">
        <v>0</v>
      </c>
      <c r="I80" s="11" t="n">
        <v>10</v>
      </c>
      <c r="J80" s="11" t="n">
        <v>14</v>
      </c>
      <c r="K80" s="12"/>
      <c r="L80" s="12"/>
    </row>
  </sheetData>
  <autoFilter ref="A3:L80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5" min="4" style="0" width="13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94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3</v>
      </c>
      <c r="B3" s="3" t="s">
        <v>4</v>
      </c>
      <c r="C3" s="3" t="s">
        <v>5</v>
      </c>
      <c r="D3" s="3" t="s">
        <v>95</v>
      </c>
      <c r="E3" s="3" t="s">
        <v>96</v>
      </c>
      <c r="F3" s="3" t="s">
        <v>97</v>
      </c>
      <c r="G3" s="3" t="s">
        <v>10</v>
      </c>
      <c r="H3" s="3" t="s">
        <v>98</v>
      </c>
      <c r="I3" s="3" t="s">
        <v>7</v>
      </c>
      <c r="J3" s="3" t="s">
        <v>99</v>
      </c>
    </row>
    <row r="4" customFormat="false" ht="15" hidden="false" customHeight="false" outlineLevel="0" collapsed="false">
      <c r="A4" s="5" t="s">
        <v>14</v>
      </c>
      <c r="B4" s="5" t="s">
        <v>15</v>
      </c>
      <c r="C4" s="5" t="s">
        <v>16</v>
      </c>
      <c r="D4" s="13" t="n">
        <v>0</v>
      </c>
      <c r="E4" s="13" t="n">
        <v>0</v>
      </c>
      <c r="F4" s="14" t="n">
        <f aca="false">D4+E4</f>
        <v>0</v>
      </c>
      <c r="G4" s="14" t="n">
        <f aca="false">'Item Master'!I4</f>
        <v>50</v>
      </c>
      <c r="H4" s="15" t="str">
        <f aca="false">IF(F4=0,"OUT OF STOCK",IF(F4&lt;=G4,"REORDER","OK"))</f>
        <v>OUT OF STOCK</v>
      </c>
      <c r="I4" s="14" t="n">
        <f aca="false">'Item Master'!F4</f>
        <v>0</v>
      </c>
      <c r="J4" s="16" t="n">
        <f aca="false">IF(ISNUMBER(I4),D4*I4,0)</f>
        <v>0</v>
      </c>
    </row>
    <row r="5" customFormat="false" ht="15" hidden="false" customHeight="false" outlineLevel="0" collapsed="false">
      <c r="A5" s="5" t="s">
        <v>19</v>
      </c>
      <c r="B5" s="5" t="s">
        <v>15</v>
      </c>
      <c r="C5" s="5" t="s">
        <v>16</v>
      </c>
      <c r="D5" s="13" t="n">
        <v>0</v>
      </c>
      <c r="E5" s="13" t="n">
        <v>0</v>
      </c>
      <c r="F5" s="14" t="n">
        <f aca="false">D5+E5</f>
        <v>0</v>
      </c>
      <c r="G5" s="14" t="n">
        <f aca="false">'Item Master'!I5</f>
        <v>30</v>
      </c>
      <c r="H5" s="15" t="str">
        <f aca="false">IF(F5=0,"OUT OF STOCK",IF(F5&lt;=G5,"REORDER","OK"))</f>
        <v>OUT OF STOCK</v>
      </c>
      <c r="I5" s="14" t="n">
        <f aca="false">'Item Master'!F5</f>
        <v>0</v>
      </c>
      <c r="J5" s="16" t="n">
        <f aca="false">IF(ISNUMBER(I5),D5*I5,0)</f>
        <v>0</v>
      </c>
    </row>
    <row r="6" customFormat="false" ht="15" hidden="false" customHeight="false" outlineLevel="0" collapsed="false">
      <c r="A6" s="5" t="s">
        <v>21</v>
      </c>
      <c r="B6" s="5" t="s">
        <v>15</v>
      </c>
      <c r="C6" s="5" t="s">
        <v>16</v>
      </c>
      <c r="D6" s="13" t="n">
        <v>0</v>
      </c>
      <c r="E6" s="13" t="n">
        <v>0</v>
      </c>
      <c r="F6" s="14" t="n">
        <f aca="false">D6+E6</f>
        <v>0</v>
      </c>
      <c r="G6" s="14" t="n">
        <f aca="false">'Item Master'!I6</f>
        <v>100</v>
      </c>
      <c r="H6" s="15" t="str">
        <f aca="false">IF(F6=0,"OUT OF STOCK",IF(F6&lt;=G6,"REORDER","OK"))</f>
        <v>OUT OF STOCK</v>
      </c>
      <c r="I6" s="14" t="n">
        <f aca="false">'Item Master'!F6</f>
        <v>0</v>
      </c>
      <c r="J6" s="16" t="n">
        <f aca="false">IF(ISNUMBER(I6),D6*I6,0)</f>
        <v>0</v>
      </c>
    </row>
    <row r="7" customFormat="false" ht="15" hidden="false" customHeight="false" outlineLevel="0" collapsed="false">
      <c r="A7" s="8" t="s">
        <v>22</v>
      </c>
      <c r="B7" s="8" t="s">
        <v>23</v>
      </c>
      <c r="C7" s="8" t="s">
        <v>24</v>
      </c>
      <c r="D7" s="13" t="n">
        <v>0</v>
      </c>
      <c r="E7" s="13" t="n">
        <v>0</v>
      </c>
      <c r="F7" s="14" t="n">
        <f aca="false">D7+E7</f>
        <v>0</v>
      </c>
      <c r="G7" s="14" t="n">
        <f aca="false">'Item Master'!I7</f>
        <v>10</v>
      </c>
      <c r="H7" s="15" t="str">
        <f aca="false">IF(F7=0,"OUT OF STOCK",IF(F7&lt;=G7,"REORDER","OK"))</f>
        <v>OUT OF STOCK</v>
      </c>
      <c r="I7" s="14" t="n">
        <f aca="false">'Item Master'!F7</f>
        <v>0</v>
      </c>
      <c r="J7" s="16" t="n">
        <f aca="false">IF(ISNUMBER(I7),D7*I7,0)</f>
        <v>0</v>
      </c>
    </row>
    <row r="8" customFormat="false" ht="15" hidden="false" customHeight="false" outlineLevel="0" collapsed="false">
      <c r="A8" s="8" t="s">
        <v>25</v>
      </c>
      <c r="B8" s="8" t="s">
        <v>23</v>
      </c>
      <c r="C8" s="8" t="s">
        <v>24</v>
      </c>
      <c r="D8" s="13" t="n">
        <v>0</v>
      </c>
      <c r="E8" s="13" t="n">
        <v>0</v>
      </c>
      <c r="F8" s="14" t="n">
        <f aca="false">D8+E8</f>
        <v>0</v>
      </c>
      <c r="G8" s="14" t="n">
        <f aca="false">'Item Master'!I8</f>
        <v>20</v>
      </c>
      <c r="H8" s="15" t="str">
        <f aca="false">IF(F8=0,"OUT OF STOCK",IF(F8&lt;=G8,"REORDER","OK"))</f>
        <v>OUT OF STOCK</v>
      </c>
      <c r="I8" s="14" t="n">
        <f aca="false">'Item Master'!F8</f>
        <v>0</v>
      </c>
      <c r="J8" s="16" t="n">
        <f aca="false">IF(ISNUMBER(I8),D8*I8,0)</f>
        <v>0</v>
      </c>
    </row>
    <row r="9" customFormat="false" ht="15" hidden="false" customHeight="false" outlineLevel="0" collapsed="false">
      <c r="A9" s="8" t="s">
        <v>26</v>
      </c>
      <c r="B9" s="8" t="s">
        <v>23</v>
      </c>
      <c r="C9" s="8" t="s">
        <v>24</v>
      </c>
      <c r="D9" s="13" t="n">
        <v>0</v>
      </c>
      <c r="E9" s="13" t="n">
        <v>0</v>
      </c>
      <c r="F9" s="14" t="n">
        <f aca="false">D9+E9</f>
        <v>0</v>
      </c>
      <c r="G9" s="14" t="n">
        <f aca="false">'Item Master'!I9</f>
        <v>20</v>
      </c>
      <c r="H9" s="15" t="str">
        <f aca="false">IF(F9=0,"OUT OF STOCK",IF(F9&lt;=G9,"REORDER","OK"))</f>
        <v>OUT OF STOCK</v>
      </c>
      <c r="I9" s="14" t="n">
        <f aca="false">'Item Master'!F9</f>
        <v>0</v>
      </c>
      <c r="J9" s="16" t="n">
        <f aca="false">IF(ISNUMBER(I9),D9*I9,0)</f>
        <v>0</v>
      </c>
    </row>
    <row r="10" customFormat="false" ht="15" hidden="false" customHeight="false" outlineLevel="0" collapsed="false">
      <c r="A10" s="8" t="s">
        <v>27</v>
      </c>
      <c r="B10" s="8" t="s">
        <v>23</v>
      </c>
      <c r="C10" s="8" t="s">
        <v>24</v>
      </c>
      <c r="D10" s="13" t="n">
        <v>0</v>
      </c>
      <c r="E10" s="13" t="n">
        <v>0</v>
      </c>
      <c r="F10" s="14" t="n">
        <f aca="false">D10+E10</f>
        <v>0</v>
      </c>
      <c r="G10" s="14" t="n">
        <f aca="false">'Item Master'!I10</f>
        <v>10</v>
      </c>
      <c r="H10" s="15" t="str">
        <f aca="false">IF(F10=0,"OUT OF STOCK",IF(F10&lt;=G10,"REORDER","OK"))</f>
        <v>OUT OF STOCK</v>
      </c>
      <c r="I10" s="14" t="n">
        <f aca="false">'Item Master'!F10</f>
        <v>0</v>
      </c>
      <c r="J10" s="16" t="n">
        <f aca="false">IF(ISNUMBER(I10),D10*I10,0)</f>
        <v>0</v>
      </c>
    </row>
    <row r="11" customFormat="false" ht="15" hidden="false" customHeight="false" outlineLevel="0" collapsed="false">
      <c r="A11" s="8" t="s">
        <v>28</v>
      </c>
      <c r="B11" s="8" t="s">
        <v>23</v>
      </c>
      <c r="C11" s="8" t="s">
        <v>24</v>
      </c>
      <c r="D11" s="13" t="n">
        <v>0</v>
      </c>
      <c r="E11" s="13" t="n">
        <v>0</v>
      </c>
      <c r="F11" s="14" t="n">
        <f aca="false">D11+E11</f>
        <v>0</v>
      </c>
      <c r="G11" s="14" t="n">
        <f aca="false">'Item Master'!I11</f>
        <v>10</v>
      </c>
      <c r="H11" s="15" t="str">
        <f aca="false">IF(F11=0,"OUT OF STOCK",IF(F11&lt;=G11,"REORDER","OK"))</f>
        <v>OUT OF STOCK</v>
      </c>
      <c r="I11" s="14" t="n">
        <f aca="false">'Item Master'!F11</f>
        <v>0</v>
      </c>
      <c r="J11" s="16" t="n">
        <f aca="false">IF(ISNUMBER(I11),D11*I11,0)</f>
        <v>0</v>
      </c>
    </row>
    <row r="12" customFormat="false" ht="15" hidden="false" customHeight="false" outlineLevel="0" collapsed="false">
      <c r="A12" s="8" t="s">
        <v>29</v>
      </c>
      <c r="B12" s="8" t="s">
        <v>23</v>
      </c>
      <c r="C12" s="8" t="s">
        <v>24</v>
      </c>
      <c r="D12" s="13" t="n">
        <v>0</v>
      </c>
      <c r="E12" s="13" t="n">
        <v>0</v>
      </c>
      <c r="F12" s="14" t="n">
        <f aca="false">D12+E12</f>
        <v>0</v>
      </c>
      <c r="G12" s="14" t="n">
        <f aca="false">'Item Master'!I12</f>
        <v>5</v>
      </c>
      <c r="H12" s="15" t="str">
        <f aca="false">IF(F12=0,"OUT OF STOCK",IF(F12&lt;=G12,"REORDER","OK"))</f>
        <v>OUT OF STOCK</v>
      </c>
      <c r="I12" s="14" t="n">
        <f aca="false">'Item Master'!F12</f>
        <v>0</v>
      </c>
      <c r="J12" s="16" t="n">
        <f aca="false">IF(ISNUMBER(I12),D12*I12,0)</f>
        <v>0</v>
      </c>
    </row>
    <row r="13" customFormat="false" ht="15" hidden="false" customHeight="false" outlineLevel="0" collapsed="false">
      <c r="A13" s="10" t="s">
        <v>32</v>
      </c>
      <c r="B13" s="10" t="s">
        <v>33</v>
      </c>
      <c r="C13" s="10" t="s">
        <v>24</v>
      </c>
      <c r="D13" s="13" t="n">
        <v>0</v>
      </c>
      <c r="E13" s="13" t="n">
        <v>0</v>
      </c>
      <c r="F13" s="14" t="n">
        <f aca="false">D13+E13</f>
        <v>0</v>
      </c>
      <c r="G13" s="14" t="n">
        <f aca="false">'Item Master'!I13</f>
        <v>2</v>
      </c>
      <c r="H13" s="15" t="str">
        <f aca="false">IF(F13=0,"OUT OF STOCK",IF(F13&lt;=G13,"REORDER","OK"))</f>
        <v>OUT OF STOCK</v>
      </c>
      <c r="I13" s="14" t="n">
        <f aca="false">'Item Master'!F13</f>
        <v>0</v>
      </c>
      <c r="J13" s="16" t="n">
        <f aca="false">IF(ISNUMBER(I13),D13*I13,0)</f>
        <v>0</v>
      </c>
    </row>
    <row r="14" customFormat="false" ht="15" hidden="false" customHeight="false" outlineLevel="0" collapsed="false">
      <c r="A14" s="10" t="s">
        <v>36</v>
      </c>
      <c r="B14" s="10" t="s">
        <v>33</v>
      </c>
      <c r="C14" s="10" t="s">
        <v>24</v>
      </c>
      <c r="D14" s="13" t="n">
        <v>0</v>
      </c>
      <c r="E14" s="13" t="n">
        <v>0</v>
      </c>
      <c r="F14" s="14" t="n">
        <f aca="false">D14+E14</f>
        <v>0</v>
      </c>
      <c r="G14" s="14" t="n">
        <f aca="false">'Item Master'!I14</f>
        <v>1</v>
      </c>
      <c r="H14" s="15" t="str">
        <f aca="false">IF(F14=0,"OUT OF STOCK",IF(F14&lt;=G14,"REORDER","OK"))</f>
        <v>OUT OF STOCK</v>
      </c>
      <c r="I14" s="14" t="n">
        <f aca="false">'Item Master'!F14</f>
        <v>0</v>
      </c>
      <c r="J14" s="16" t="n">
        <f aca="false">IF(ISNUMBER(I14),D14*I14,0)</f>
        <v>0</v>
      </c>
    </row>
    <row r="15" customFormat="false" ht="15" hidden="false" customHeight="false" outlineLevel="0" collapsed="false">
      <c r="A15" s="10" t="s">
        <v>38</v>
      </c>
      <c r="B15" s="10" t="s">
        <v>33</v>
      </c>
      <c r="C15" s="10" t="s">
        <v>24</v>
      </c>
      <c r="D15" s="13" t="n">
        <v>0</v>
      </c>
      <c r="E15" s="13" t="n">
        <v>0</v>
      </c>
      <c r="F15" s="14" t="n">
        <f aca="false">D15+E15</f>
        <v>0</v>
      </c>
      <c r="G15" s="14" t="n">
        <f aca="false">'Item Master'!I15</f>
        <v>1</v>
      </c>
      <c r="H15" s="15" t="str">
        <f aca="false">IF(F15=0,"OUT OF STOCK",IF(F15&lt;=G15,"REORDER","OK"))</f>
        <v>OUT OF STOCK</v>
      </c>
      <c r="I15" s="14" t="n">
        <f aca="false">'Item Master'!F15</f>
        <v>0</v>
      </c>
      <c r="J15" s="16" t="n">
        <f aca="false">IF(ISNUMBER(I15),D15*I15,0)</f>
        <v>0</v>
      </c>
    </row>
    <row r="16" customFormat="false" ht="15" hidden="false" customHeight="false" outlineLevel="0" collapsed="false">
      <c r="A16" s="10" t="s">
        <v>40</v>
      </c>
      <c r="B16" s="10" t="s">
        <v>33</v>
      </c>
      <c r="C16" s="10" t="s">
        <v>24</v>
      </c>
      <c r="D16" s="13" t="n">
        <v>0</v>
      </c>
      <c r="E16" s="13" t="n">
        <v>0</v>
      </c>
      <c r="F16" s="14" t="n">
        <f aca="false">D16+E16</f>
        <v>0</v>
      </c>
      <c r="G16" s="14" t="n">
        <f aca="false">'Item Master'!I16</f>
        <v>1</v>
      </c>
      <c r="H16" s="15" t="str">
        <f aca="false">IF(F16=0,"OUT OF STOCK",IF(F16&lt;=G16,"REORDER","OK"))</f>
        <v>OUT OF STOCK</v>
      </c>
      <c r="I16" s="14" t="n">
        <f aca="false">'Item Master'!F16</f>
        <v>0</v>
      </c>
      <c r="J16" s="16" t="n">
        <f aca="false">IF(ISNUMBER(I16),D16*I16,0)</f>
        <v>0</v>
      </c>
    </row>
    <row r="17" customFormat="false" ht="15" hidden="false" customHeight="false" outlineLevel="0" collapsed="false">
      <c r="A17" s="10" t="s">
        <v>42</v>
      </c>
      <c r="B17" s="10" t="s">
        <v>33</v>
      </c>
      <c r="C17" s="10" t="s">
        <v>24</v>
      </c>
      <c r="D17" s="13" t="n">
        <v>0</v>
      </c>
      <c r="E17" s="13" t="n">
        <v>0</v>
      </c>
      <c r="F17" s="14" t="n">
        <f aca="false">D17+E17</f>
        <v>0</v>
      </c>
      <c r="G17" s="14" t="n">
        <f aca="false">'Item Master'!I17</f>
        <v>1</v>
      </c>
      <c r="H17" s="15" t="str">
        <f aca="false">IF(F17=0,"OUT OF STOCK",IF(F17&lt;=G17,"REORDER","OK"))</f>
        <v>OUT OF STOCK</v>
      </c>
      <c r="I17" s="14" t="n">
        <f aca="false">'Item Master'!F17</f>
        <v>0</v>
      </c>
      <c r="J17" s="16" t="n">
        <f aca="false">IF(ISNUMBER(I17),D17*I17,0)</f>
        <v>0</v>
      </c>
    </row>
    <row r="18" customFormat="false" ht="15" hidden="false" customHeight="false" outlineLevel="0" collapsed="false">
      <c r="A18" s="10" t="s">
        <v>43</v>
      </c>
      <c r="B18" s="10" t="s">
        <v>33</v>
      </c>
      <c r="C18" s="10" t="s">
        <v>24</v>
      </c>
      <c r="D18" s="13" t="n">
        <v>0</v>
      </c>
      <c r="E18" s="13" t="n">
        <v>0</v>
      </c>
      <c r="F18" s="14" t="n">
        <f aca="false">D18+E18</f>
        <v>0</v>
      </c>
      <c r="G18" s="14" t="n">
        <f aca="false">'Item Master'!I18</f>
        <v>1</v>
      </c>
      <c r="H18" s="15" t="str">
        <f aca="false">IF(F18=0,"OUT OF STOCK",IF(F18&lt;=G18,"REORDER","OK"))</f>
        <v>OUT OF STOCK</v>
      </c>
      <c r="I18" s="14" t="n">
        <f aca="false">'Item Master'!F18</f>
        <v>0</v>
      </c>
      <c r="J18" s="16" t="n">
        <f aca="false">IF(ISNUMBER(I18),D18*I18,0)</f>
        <v>0</v>
      </c>
    </row>
    <row r="19" customFormat="false" ht="15" hidden="false" customHeight="false" outlineLevel="0" collapsed="false">
      <c r="A19" s="8" t="s">
        <v>44</v>
      </c>
      <c r="B19" s="8" t="s">
        <v>23</v>
      </c>
      <c r="C19" s="8" t="s">
        <v>45</v>
      </c>
      <c r="D19" s="13" t="n">
        <v>0</v>
      </c>
      <c r="E19" s="13" t="n">
        <v>0</v>
      </c>
      <c r="F19" s="14" t="n">
        <f aca="false">D19+E19</f>
        <v>0</v>
      </c>
      <c r="G19" s="14" t="n">
        <f aca="false">'Item Master'!I19</f>
        <v>10</v>
      </c>
      <c r="H19" s="15" t="str">
        <f aca="false">IF(F19=0,"OUT OF STOCK",IF(F19&lt;=G19,"REORDER","OK"))</f>
        <v>OUT OF STOCK</v>
      </c>
      <c r="I19" s="14" t="n">
        <f aca="false">'Item Master'!F19</f>
        <v>0</v>
      </c>
      <c r="J19" s="16" t="n">
        <f aca="false">IF(ISNUMBER(I19),D19*I19,0)</f>
        <v>0</v>
      </c>
    </row>
    <row r="20" customFormat="false" ht="15" hidden="false" customHeight="false" outlineLevel="0" collapsed="false">
      <c r="A20" s="8" t="s">
        <v>46</v>
      </c>
      <c r="B20" s="8" t="s">
        <v>23</v>
      </c>
      <c r="C20" s="8" t="s">
        <v>45</v>
      </c>
      <c r="D20" s="13" t="n">
        <v>0</v>
      </c>
      <c r="E20" s="13" t="n">
        <v>0</v>
      </c>
      <c r="F20" s="14" t="n">
        <f aca="false">D20+E20</f>
        <v>0</v>
      </c>
      <c r="G20" s="14" t="n">
        <f aca="false">'Item Master'!I20</f>
        <v>20</v>
      </c>
      <c r="H20" s="15" t="str">
        <f aca="false">IF(F20=0,"OUT OF STOCK",IF(F20&lt;=G20,"REORDER","OK"))</f>
        <v>OUT OF STOCK</v>
      </c>
      <c r="I20" s="14" t="n">
        <f aca="false">'Item Master'!F20</f>
        <v>0</v>
      </c>
      <c r="J20" s="16" t="n">
        <f aca="false">IF(ISNUMBER(I20),D20*I20,0)</f>
        <v>0</v>
      </c>
    </row>
    <row r="21" customFormat="false" ht="15" hidden="false" customHeight="false" outlineLevel="0" collapsed="false">
      <c r="A21" s="8" t="s">
        <v>47</v>
      </c>
      <c r="B21" s="8" t="s">
        <v>23</v>
      </c>
      <c r="C21" s="8" t="s">
        <v>45</v>
      </c>
      <c r="D21" s="13" t="n">
        <v>0</v>
      </c>
      <c r="E21" s="13" t="n">
        <v>0</v>
      </c>
      <c r="F21" s="14" t="n">
        <f aca="false">D21+E21</f>
        <v>0</v>
      </c>
      <c r="G21" s="14" t="n">
        <f aca="false">'Item Master'!I21</f>
        <v>10</v>
      </c>
      <c r="H21" s="15" t="str">
        <f aca="false">IF(F21=0,"OUT OF STOCK",IF(F21&lt;=G21,"REORDER","OK"))</f>
        <v>OUT OF STOCK</v>
      </c>
      <c r="I21" s="14" t="n">
        <f aca="false">'Item Master'!F21</f>
        <v>0</v>
      </c>
      <c r="J21" s="16" t="n">
        <f aca="false">IF(ISNUMBER(I21),D21*I21,0)</f>
        <v>0</v>
      </c>
    </row>
    <row r="22" customFormat="false" ht="15" hidden="false" customHeight="false" outlineLevel="0" collapsed="false">
      <c r="A22" s="8" t="s">
        <v>48</v>
      </c>
      <c r="B22" s="8" t="s">
        <v>23</v>
      </c>
      <c r="C22" s="8" t="s">
        <v>45</v>
      </c>
      <c r="D22" s="13" t="n">
        <v>0</v>
      </c>
      <c r="E22" s="13" t="n">
        <v>0</v>
      </c>
      <c r="F22" s="14" t="n">
        <f aca="false">D22+E22</f>
        <v>0</v>
      </c>
      <c r="G22" s="14" t="n">
        <f aca="false">'Item Master'!I22</f>
        <v>5</v>
      </c>
      <c r="H22" s="15" t="str">
        <f aca="false">IF(F22=0,"OUT OF STOCK",IF(F22&lt;=G22,"REORDER","OK"))</f>
        <v>OUT OF STOCK</v>
      </c>
      <c r="I22" s="14" t="n">
        <f aca="false">'Item Master'!F22</f>
        <v>0</v>
      </c>
      <c r="J22" s="16" t="n">
        <f aca="false">IF(ISNUMBER(I22),D22*I22,0)</f>
        <v>0</v>
      </c>
    </row>
    <row r="23" customFormat="false" ht="15" hidden="false" customHeight="false" outlineLevel="0" collapsed="false">
      <c r="A23" s="10" t="s">
        <v>32</v>
      </c>
      <c r="B23" s="10" t="s">
        <v>33</v>
      </c>
      <c r="C23" s="10" t="s">
        <v>45</v>
      </c>
      <c r="D23" s="13" t="n">
        <v>0</v>
      </c>
      <c r="E23" s="13" t="n">
        <v>0</v>
      </c>
      <c r="F23" s="14" t="n">
        <f aca="false">D23+E23</f>
        <v>0</v>
      </c>
      <c r="G23" s="14" t="n">
        <f aca="false">'Item Master'!I23</f>
        <v>1</v>
      </c>
      <c r="H23" s="15" t="str">
        <f aca="false">IF(F23=0,"OUT OF STOCK",IF(F23&lt;=G23,"REORDER","OK"))</f>
        <v>OUT OF STOCK</v>
      </c>
      <c r="I23" s="14" t="n">
        <f aca="false">'Item Master'!F23</f>
        <v>0</v>
      </c>
      <c r="J23" s="16" t="n">
        <f aca="false">IF(ISNUMBER(I23),D23*I23,0)</f>
        <v>0</v>
      </c>
    </row>
    <row r="24" customFormat="false" ht="15" hidden="false" customHeight="false" outlineLevel="0" collapsed="false">
      <c r="A24" s="10" t="s">
        <v>36</v>
      </c>
      <c r="B24" s="10" t="s">
        <v>33</v>
      </c>
      <c r="C24" s="10" t="s">
        <v>45</v>
      </c>
      <c r="D24" s="13" t="n">
        <v>0</v>
      </c>
      <c r="E24" s="13" t="n">
        <v>0</v>
      </c>
      <c r="F24" s="14" t="n">
        <f aca="false">D24+E24</f>
        <v>0</v>
      </c>
      <c r="G24" s="14" t="n">
        <f aca="false">'Item Master'!I24</f>
        <v>1</v>
      </c>
      <c r="H24" s="15" t="str">
        <f aca="false">IF(F24=0,"OUT OF STOCK",IF(F24&lt;=G24,"REORDER","OK"))</f>
        <v>OUT OF STOCK</v>
      </c>
      <c r="I24" s="14" t="n">
        <f aca="false">'Item Master'!F24</f>
        <v>0</v>
      </c>
      <c r="J24" s="16" t="n">
        <f aca="false">IF(ISNUMBER(I24),D24*I24,0)</f>
        <v>0</v>
      </c>
    </row>
    <row r="25" customFormat="false" ht="15" hidden="false" customHeight="false" outlineLevel="0" collapsed="false">
      <c r="A25" s="10" t="s">
        <v>38</v>
      </c>
      <c r="B25" s="10" t="s">
        <v>33</v>
      </c>
      <c r="C25" s="10" t="s">
        <v>45</v>
      </c>
      <c r="D25" s="13" t="n">
        <v>0</v>
      </c>
      <c r="E25" s="13" t="n">
        <v>0</v>
      </c>
      <c r="F25" s="14" t="n">
        <f aca="false">D25+E25</f>
        <v>0</v>
      </c>
      <c r="G25" s="14" t="n">
        <f aca="false">'Item Master'!I25</f>
        <v>1</v>
      </c>
      <c r="H25" s="15" t="str">
        <f aca="false">IF(F25=0,"OUT OF STOCK",IF(F25&lt;=G25,"REORDER","OK"))</f>
        <v>OUT OF STOCK</v>
      </c>
      <c r="I25" s="14" t="n">
        <f aca="false">'Item Master'!F25</f>
        <v>0</v>
      </c>
      <c r="J25" s="16" t="n">
        <f aca="false">IF(ISNUMBER(I25),D25*I25,0)</f>
        <v>0</v>
      </c>
    </row>
    <row r="26" customFormat="false" ht="15" hidden="false" customHeight="false" outlineLevel="0" collapsed="false">
      <c r="A26" s="10" t="s">
        <v>49</v>
      </c>
      <c r="B26" s="10" t="s">
        <v>33</v>
      </c>
      <c r="C26" s="10" t="s">
        <v>45</v>
      </c>
      <c r="D26" s="13" t="n">
        <v>0</v>
      </c>
      <c r="E26" s="13" t="n">
        <v>0</v>
      </c>
      <c r="F26" s="14" t="n">
        <f aca="false">D26+E26</f>
        <v>0</v>
      </c>
      <c r="G26" s="14" t="n">
        <f aca="false">'Item Master'!I26</f>
        <v>1</v>
      </c>
      <c r="H26" s="15" t="str">
        <f aca="false">IF(F26=0,"OUT OF STOCK",IF(F26&lt;=G26,"REORDER","OK"))</f>
        <v>OUT OF STOCK</v>
      </c>
      <c r="I26" s="14" t="n">
        <f aca="false">'Item Master'!F26</f>
        <v>0</v>
      </c>
      <c r="J26" s="16" t="n">
        <f aca="false">IF(ISNUMBER(I26),D26*I26,0)</f>
        <v>0</v>
      </c>
    </row>
    <row r="27" customFormat="false" ht="15" hidden="false" customHeight="false" outlineLevel="0" collapsed="false">
      <c r="A27" s="10" t="s">
        <v>40</v>
      </c>
      <c r="B27" s="10" t="s">
        <v>33</v>
      </c>
      <c r="C27" s="10" t="s">
        <v>45</v>
      </c>
      <c r="D27" s="13" t="n">
        <v>0</v>
      </c>
      <c r="E27" s="13" t="n">
        <v>0</v>
      </c>
      <c r="F27" s="14" t="n">
        <f aca="false">D27+E27</f>
        <v>0</v>
      </c>
      <c r="G27" s="14" t="n">
        <f aca="false">'Item Master'!I27</f>
        <v>1</v>
      </c>
      <c r="H27" s="15" t="str">
        <f aca="false">IF(F27=0,"OUT OF STOCK",IF(F27&lt;=G27,"REORDER","OK"))</f>
        <v>OUT OF STOCK</v>
      </c>
      <c r="I27" s="14" t="n">
        <f aca="false">'Item Master'!F27</f>
        <v>0</v>
      </c>
      <c r="J27" s="16" t="n">
        <f aca="false">IF(ISNUMBER(I27),D27*I27,0)</f>
        <v>0</v>
      </c>
    </row>
    <row r="28" customFormat="false" ht="15" hidden="false" customHeight="false" outlineLevel="0" collapsed="false">
      <c r="A28" s="10" t="s">
        <v>50</v>
      </c>
      <c r="B28" s="10" t="s">
        <v>33</v>
      </c>
      <c r="C28" s="10" t="s">
        <v>45</v>
      </c>
      <c r="D28" s="13" t="n">
        <v>0</v>
      </c>
      <c r="E28" s="13" t="n">
        <v>0</v>
      </c>
      <c r="F28" s="14" t="n">
        <f aca="false">D28+E28</f>
        <v>0</v>
      </c>
      <c r="G28" s="14" t="n">
        <f aca="false">'Item Master'!I28</f>
        <v>1</v>
      </c>
      <c r="H28" s="15" t="str">
        <f aca="false">IF(F28=0,"OUT OF STOCK",IF(F28&lt;=G28,"REORDER","OK"))</f>
        <v>OUT OF STOCK</v>
      </c>
      <c r="I28" s="14" t="n">
        <f aca="false">'Item Master'!F28</f>
        <v>0</v>
      </c>
      <c r="J28" s="16" t="n">
        <f aca="false">IF(ISNUMBER(I28),D28*I28,0)</f>
        <v>0</v>
      </c>
    </row>
    <row r="29" customFormat="false" ht="15" hidden="false" customHeight="false" outlineLevel="0" collapsed="false">
      <c r="A29" s="10" t="s">
        <v>51</v>
      </c>
      <c r="B29" s="10" t="s">
        <v>33</v>
      </c>
      <c r="C29" s="10" t="s">
        <v>45</v>
      </c>
      <c r="D29" s="13" t="n">
        <v>0</v>
      </c>
      <c r="E29" s="13" t="n">
        <v>0</v>
      </c>
      <c r="F29" s="14" t="n">
        <f aca="false">D29+E29</f>
        <v>0</v>
      </c>
      <c r="G29" s="14" t="n">
        <f aca="false">'Item Master'!I29</f>
        <v>1</v>
      </c>
      <c r="H29" s="15" t="str">
        <f aca="false">IF(F29=0,"OUT OF STOCK",IF(F29&lt;=G29,"REORDER","OK"))</f>
        <v>OUT OF STOCK</v>
      </c>
      <c r="I29" s="14" t="n">
        <f aca="false">'Item Master'!F29</f>
        <v>0</v>
      </c>
      <c r="J29" s="16" t="n">
        <f aca="false">IF(ISNUMBER(I29),D29*I29,0)</f>
        <v>0</v>
      </c>
    </row>
    <row r="30" customFormat="false" ht="15" hidden="false" customHeight="false" outlineLevel="0" collapsed="false">
      <c r="A30" s="10" t="s">
        <v>52</v>
      </c>
      <c r="B30" s="10" t="s">
        <v>33</v>
      </c>
      <c r="C30" s="10" t="s">
        <v>45</v>
      </c>
      <c r="D30" s="13" t="n">
        <v>0</v>
      </c>
      <c r="E30" s="13" t="n">
        <v>0</v>
      </c>
      <c r="F30" s="14" t="n">
        <f aca="false">D30+E30</f>
        <v>0</v>
      </c>
      <c r="G30" s="14" t="n">
        <f aca="false">'Item Master'!I30</f>
        <v>1</v>
      </c>
      <c r="H30" s="15" t="str">
        <f aca="false">IF(F30=0,"OUT OF STOCK",IF(F30&lt;=G30,"REORDER","OK"))</f>
        <v>OUT OF STOCK</v>
      </c>
      <c r="I30" s="14" t="n">
        <f aca="false">'Item Master'!F30</f>
        <v>0</v>
      </c>
      <c r="J30" s="16" t="n">
        <f aca="false">IF(ISNUMBER(I30),D30*I30,0)</f>
        <v>0</v>
      </c>
    </row>
    <row r="31" customFormat="false" ht="15" hidden="false" customHeight="false" outlineLevel="0" collapsed="false">
      <c r="A31" s="8" t="s">
        <v>53</v>
      </c>
      <c r="B31" s="8" t="s">
        <v>23</v>
      </c>
      <c r="C31" s="8" t="s">
        <v>54</v>
      </c>
      <c r="D31" s="13" t="n">
        <v>0</v>
      </c>
      <c r="E31" s="13" t="n">
        <v>0</v>
      </c>
      <c r="F31" s="14" t="n">
        <f aca="false">D31+E31</f>
        <v>0</v>
      </c>
      <c r="G31" s="14" t="n">
        <f aca="false">'Item Master'!I31</f>
        <v>10</v>
      </c>
      <c r="H31" s="15" t="str">
        <f aca="false">IF(F31=0,"OUT OF STOCK",IF(F31&lt;=G31,"REORDER","OK"))</f>
        <v>OUT OF STOCK</v>
      </c>
      <c r="I31" s="14" t="n">
        <f aca="false">'Item Master'!F31</f>
        <v>0</v>
      </c>
      <c r="J31" s="16" t="n">
        <f aca="false">IF(ISNUMBER(I31),D31*I31,0)</f>
        <v>0</v>
      </c>
    </row>
    <row r="32" customFormat="false" ht="15" hidden="false" customHeight="false" outlineLevel="0" collapsed="false">
      <c r="A32" s="8" t="s">
        <v>55</v>
      </c>
      <c r="B32" s="8" t="s">
        <v>23</v>
      </c>
      <c r="C32" s="8" t="s">
        <v>54</v>
      </c>
      <c r="D32" s="13" t="n">
        <v>0</v>
      </c>
      <c r="E32" s="13" t="n">
        <v>0</v>
      </c>
      <c r="F32" s="14" t="n">
        <f aca="false">D32+E32</f>
        <v>0</v>
      </c>
      <c r="G32" s="14" t="n">
        <f aca="false">'Item Master'!I32</f>
        <v>10</v>
      </c>
      <c r="H32" s="15" t="str">
        <f aca="false">IF(F32=0,"OUT OF STOCK",IF(F32&lt;=G32,"REORDER","OK"))</f>
        <v>OUT OF STOCK</v>
      </c>
      <c r="I32" s="14" t="n">
        <f aca="false">'Item Master'!F32</f>
        <v>0</v>
      </c>
      <c r="J32" s="16" t="n">
        <f aca="false">IF(ISNUMBER(I32),D32*I32,0)</f>
        <v>0</v>
      </c>
    </row>
    <row r="33" customFormat="false" ht="15" hidden="false" customHeight="false" outlineLevel="0" collapsed="false">
      <c r="A33" s="8" t="s">
        <v>56</v>
      </c>
      <c r="B33" s="8" t="s">
        <v>23</v>
      </c>
      <c r="C33" s="8" t="s">
        <v>54</v>
      </c>
      <c r="D33" s="13" t="n">
        <v>0</v>
      </c>
      <c r="E33" s="13" t="n">
        <v>0</v>
      </c>
      <c r="F33" s="14" t="n">
        <f aca="false">D33+E33</f>
        <v>0</v>
      </c>
      <c r="G33" s="14" t="n">
        <f aca="false">'Item Master'!I33</f>
        <v>5</v>
      </c>
      <c r="H33" s="15" t="str">
        <f aca="false">IF(F33=0,"OUT OF STOCK",IF(F33&lt;=G33,"REORDER","OK"))</f>
        <v>OUT OF STOCK</v>
      </c>
      <c r="I33" s="14" t="n">
        <f aca="false">'Item Master'!F33</f>
        <v>0</v>
      </c>
      <c r="J33" s="16" t="n">
        <f aca="false">IF(ISNUMBER(I33),D33*I33,0)</f>
        <v>0</v>
      </c>
    </row>
    <row r="34" customFormat="false" ht="15" hidden="false" customHeight="false" outlineLevel="0" collapsed="false">
      <c r="A34" s="8" t="s">
        <v>57</v>
      </c>
      <c r="B34" s="8" t="s">
        <v>23</v>
      </c>
      <c r="C34" s="8" t="s">
        <v>54</v>
      </c>
      <c r="D34" s="13" t="n">
        <v>0</v>
      </c>
      <c r="E34" s="13" t="n">
        <v>0</v>
      </c>
      <c r="F34" s="14" t="n">
        <f aca="false">D34+E34</f>
        <v>0</v>
      </c>
      <c r="G34" s="14" t="n">
        <f aca="false">'Item Master'!I34</f>
        <v>5</v>
      </c>
      <c r="H34" s="15" t="str">
        <f aca="false">IF(F34=0,"OUT OF STOCK",IF(F34&lt;=G34,"REORDER","OK"))</f>
        <v>OUT OF STOCK</v>
      </c>
      <c r="I34" s="14" t="n">
        <f aca="false">'Item Master'!F34</f>
        <v>0</v>
      </c>
      <c r="J34" s="16" t="n">
        <f aca="false">IF(ISNUMBER(I34),D34*I34,0)</f>
        <v>0</v>
      </c>
    </row>
    <row r="35" customFormat="false" ht="15" hidden="false" customHeight="false" outlineLevel="0" collapsed="false">
      <c r="A35" s="8" t="s">
        <v>58</v>
      </c>
      <c r="B35" s="8" t="s">
        <v>23</v>
      </c>
      <c r="C35" s="8" t="s">
        <v>54</v>
      </c>
      <c r="D35" s="13" t="n">
        <v>0</v>
      </c>
      <c r="E35" s="13" t="n">
        <v>0</v>
      </c>
      <c r="F35" s="14" t="n">
        <f aca="false">D35+E35</f>
        <v>0</v>
      </c>
      <c r="G35" s="14" t="n">
        <f aca="false">'Item Master'!I35</f>
        <v>50</v>
      </c>
      <c r="H35" s="15" t="str">
        <f aca="false">IF(F35=0,"OUT OF STOCK",IF(F35&lt;=G35,"REORDER","OK"))</f>
        <v>OUT OF STOCK</v>
      </c>
      <c r="I35" s="14" t="n">
        <f aca="false">'Item Master'!F35</f>
        <v>0</v>
      </c>
      <c r="J35" s="16" t="n">
        <f aca="false">IF(ISNUMBER(I35),D35*I35,0)</f>
        <v>0</v>
      </c>
    </row>
    <row r="36" customFormat="false" ht="15" hidden="false" customHeight="false" outlineLevel="0" collapsed="false">
      <c r="A36" s="8" t="s">
        <v>60</v>
      </c>
      <c r="B36" s="8" t="s">
        <v>23</v>
      </c>
      <c r="C36" s="8" t="s">
        <v>54</v>
      </c>
      <c r="D36" s="13" t="n">
        <v>0</v>
      </c>
      <c r="E36" s="13" t="n">
        <v>0</v>
      </c>
      <c r="F36" s="14" t="n">
        <f aca="false">D36+E36</f>
        <v>0</v>
      </c>
      <c r="G36" s="14" t="n">
        <f aca="false">'Item Master'!I36</f>
        <v>30</v>
      </c>
      <c r="H36" s="15" t="str">
        <f aca="false">IF(F36=0,"OUT OF STOCK",IF(F36&lt;=G36,"REORDER","OK"))</f>
        <v>OUT OF STOCK</v>
      </c>
      <c r="I36" s="14" t="n">
        <f aca="false">'Item Master'!F36</f>
        <v>0</v>
      </c>
      <c r="J36" s="16" t="n">
        <f aca="false">IF(ISNUMBER(I36),D36*I36,0)</f>
        <v>0</v>
      </c>
    </row>
    <row r="37" customFormat="false" ht="15" hidden="false" customHeight="false" outlineLevel="0" collapsed="false">
      <c r="A37" s="8" t="s">
        <v>61</v>
      </c>
      <c r="B37" s="8" t="s">
        <v>23</v>
      </c>
      <c r="C37" s="8" t="s">
        <v>54</v>
      </c>
      <c r="D37" s="13" t="n">
        <v>0</v>
      </c>
      <c r="E37" s="13" t="n">
        <v>0</v>
      </c>
      <c r="F37" s="14" t="n">
        <f aca="false">D37+E37</f>
        <v>0</v>
      </c>
      <c r="G37" s="14" t="n">
        <f aca="false">'Item Master'!I37</f>
        <v>50</v>
      </c>
      <c r="H37" s="15" t="str">
        <f aca="false">IF(F37=0,"OUT OF STOCK",IF(F37&lt;=G37,"REORDER","OK"))</f>
        <v>OUT OF STOCK</v>
      </c>
      <c r="I37" s="14" t="n">
        <f aca="false">'Item Master'!F37</f>
        <v>0</v>
      </c>
      <c r="J37" s="16" t="n">
        <f aca="false">IF(ISNUMBER(I37),D37*I37,0)</f>
        <v>0</v>
      </c>
    </row>
    <row r="38" customFormat="false" ht="15" hidden="false" customHeight="false" outlineLevel="0" collapsed="false">
      <c r="A38" s="8" t="s">
        <v>62</v>
      </c>
      <c r="B38" s="8" t="s">
        <v>23</v>
      </c>
      <c r="C38" s="8" t="s">
        <v>54</v>
      </c>
      <c r="D38" s="13" t="n">
        <v>0</v>
      </c>
      <c r="E38" s="13" t="n">
        <v>0</v>
      </c>
      <c r="F38" s="14" t="n">
        <f aca="false">D38+E38</f>
        <v>0</v>
      </c>
      <c r="G38" s="14" t="n">
        <f aca="false">'Item Master'!I38</f>
        <v>20</v>
      </c>
      <c r="H38" s="15" t="str">
        <f aca="false">IF(F38=0,"OUT OF STOCK",IF(F38&lt;=G38,"REORDER","OK"))</f>
        <v>OUT OF STOCK</v>
      </c>
      <c r="I38" s="14" t="n">
        <f aca="false">'Item Master'!F38</f>
        <v>0</v>
      </c>
      <c r="J38" s="16" t="n">
        <f aca="false">IF(ISNUMBER(I38),D38*I38,0)</f>
        <v>0</v>
      </c>
    </row>
    <row r="39" customFormat="false" ht="15" hidden="false" customHeight="false" outlineLevel="0" collapsed="false">
      <c r="A39" s="10" t="s">
        <v>36</v>
      </c>
      <c r="B39" s="10" t="s">
        <v>33</v>
      </c>
      <c r="C39" s="10" t="s">
        <v>54</v>
      </c>
      <c r="D39" s="13" t="n">
        <v>0</v>
      </c>
      <c r="E39" s="13" t="n">
        <v>0</v>
      </c>
      <c r="F39" s="14" t="n">
        <f aca="false">D39+E39</f>
        <v>0</v>
      </c>
      <c r="G39" s="14" t="n">
        <f aca="false">'Item Master'!I39</f>
        <v>1</v>
      </c>
      <c r="H39" s="15" t="str">
        <f aca="false">IF(F39=0,"OUT OF STOCK",IF(F39&lt;=G39,"REORDER","OK"))</f>
        <v>OUT OF STOCK</v>
      </c>
      <c r="I39" s="14" t="n">
        <f aca="false">'Item Master'!F39</f>
        <v>0</v>
      </c>
      <c r="J39" s="16" t="n">
        <f aca="false">IF(ISNUMBER(I39),D39*I39,0)</f>
        <v>0</v>
      </c>
    </row>
    <row r="40" customFormat="false" ht="15" hidden="false" customHeight="false" outlineLevel="0" collapsed="false">
      <c r="A40" s="8" t="s">
        <v>63</v>
      </c>
      <c r="B40" s="8" t="s">
        <v>23</v>
      </c>
      <c r="C40" s="8" t="s">
        <v>64</v>
      </c>
      <c r="D40" s="13" t="n">
        <v>0</v>
      </c>
      <c r="E40" s="13" t="n">
        <v>0</v>
      </c>
      <c r="F40" s="14" t="n">
        <f aca="false">D40+E40</f>
        <v>0</v>
      </c>
      <c r="G40" s="14" t="n">
        <f aca="false">'Item Master'!I40</f>
        <v>10</v>
      </c>
      <c r="H40" s="15" t="str">
        <f aca="false">IF(F40=0,"OUT OF STOCK",IF(F40&lt;=G40,"REORDER","OK"))</f>
        <v>OUT OF STOCK</v>
      </c>
      <c r="I40" s="14" t="n">
        <f aca="false">'Item Master'!F40</f>
        <v>0</v>
      </c>
      <c r="J40" s="16" t="n">
        <f aca="false">IF(ISNUMBER(I40),D40*I40,0)</f>
        <v>0</v>
      </c>
    </row>
    <row r="41" customFormat="false" ht="15" hidden="false" customHeight="false" outlineLevel="0" collapsed="false">
      <c r="A41" s="8" t="s">
        <v>25</v>
      </c>
      <c r="B41" s="8" t="s">
        <v>23</v>
      </c>
      <c r="C41" s="8" t="s">
        <v>64</v>
      </c>
      <c r="D41" s="13" t="n">
        <v>0</v>
      </c>
      <c r="E41" s="13" t="n">
        <v>0</v>
      </c>
      <c r="F41" s="14" t="n">
        <f aca="false">D41+E41</f>
        <v>0</v>
      </c>
      <c r="G41" s="14" t="n">
        <f aca="false">'Item Master'!I41</f>
        <v>20</v>
      </c>
      <c r="H41" s="15" t="str">
        <f aca="false">IF(F41=0,"OUT OF STOCK",IF(F41&lt;=G41,"REORDER","OK"))</f>
        <v>OUT OF STOCK</v>
      </c>
      <c r="I41" s="14" t="n">
        <f aca="false">'Item Master'!F41</f>
        <v>0</v>
      </c>
      <c r="J41" s="16" t="n">
        <f aca="false">IF(ISNUMBER(I41),D41*I41,0)</f>
        <v>0</v>
      </c>
    </row>
    <row r="42" customFormat="false" ht="15" hidden="false" customHeight="false" outlineLevel="0" collapsed="false">
      <c r="A42" s="8" t="s">
        <v>26</v>
      </c>
      <c r="B42" s="8" t="s">
        <v>23</v>
      </c>
      <c r="C42" s="8" t="s">
        <v>64</v>
      </c>
      <c r="D42" s="13" t="n">
        <v>0</v>
      </c>
      <c r="E42" s="13" t="n">
        <v>0</v>
      </c>
      <c r="F42" s="14" t="n">
        <f aca="false">D42+E42</f>
        <v>0</v>
      </c>
      <c r="G42" s="14" t="n">
        <f aca="false">'Item Master'!I42</f>
        <v>20</v>
      </c>
      <c r="H42" s="15" t="str">
        <f aca="false">IF(F42=0,"OUT OF STOCK",IF(F42&lt;=G42,"REORDER","OK"))</f>
        <v>OUT OF STOCK</v>
      </c>
      <c r="I42" s="14" t="n">
        <f aca="false">'Item Master'!F42</f>
        <v>0</v>
      </c>
      <c r="J42" s="16" t="n">
        <f aca="false">IF(ISNUMBER(I42),D42*I42,0)</f>
        <v>0</v>
      </c>
    </row>
    <row r="43" customFormat="false" ht="15" hidden="false" customHeight="false" outlineLevel="0" collapsed="false">
      <c r="A43" s="8" t="s">
        <v>28</v>
      </c>
      <c r="B43" s="8" t="s">
        <v>23</v>
      </c>
      <c r="C43" s="8" t="s">
        <v>64</v>
      </c>
      <c r="D43" s="13" t="n">
        <v>0</v>
      </c>
      <c r="E43" s="13" t="n">
        <v>0</v>
      </c>
      <c r="F43" s="14" t="n">
        <f aca="false">D43+E43</f>
        <v>0</v>
      </c>
      <c r="G43" s="14" t="n">
        <f aca="false">'Item Master'!I43</f>
        <v>10</v>
      </c>
      <c r="H43" s="15" t="str">
        <f aca="false">IF(F43=0,"OUT OF STOCK",IF(F43&lt;=G43,"REORDER","OK"))</f>
        <v>OUT OF STOCK</v>
      </c>
      <c r="I43" s="14" t="n">
        <f aca="false">'Item Master'!F43</f>
        <v>0</v>
      </c>
      <c r="J43" s="16" t="n">
        <f aca="false">IF(ISNUMBER(I43),D43*I43,0)</f>
        <v>0</v>
      </c>
    </row>
    <row r="44" customFormat="false" ht="15" hidden="false" customHeight="false" outlineLevel="0" collapsed="false">
      <c r="A44" s="8" t="s">
        <v>29</v>
      </c>
      <c r="B44" s="8" t="s">
        <v>23</v>
      </c>
      <c r="C44" s="8" t="s">
        <v>64</v>
      </c>
      <c r="D44" s="13" t="n">
        <v>0</v>
      </c>
      <c r="E44" s="13" t="n">
        <v>0</v>
      </c>
      <c r="F44" s="14" t="n">
        <f aca="false">D44+E44</f>
        <v>0</v>
      </c>
      <c r="G44" s="14" t="n">
        <f aca="false">'Item Master'!I44</f>
        <v>5</v>
      </c>
      <c r="H44" s="15" t="str">
        <f aca="false">IF(F44=0,"OUT OF STOCK",IF(F44&lt;=G44,"REORDER","OK"))</f>
        <v>OUT OF STOCK</v>
      </c>
      <c r="I44" s="14" t="n">
        <f aca="false">'Item Master'!F44</f>
        <v>0</v>
      </c>
      <c r="J44" s="16" t="n">
        <f aca="false">IF(ISNUMBER(I44),D44*I44,0)</f>
        <v>0</v>
      </c>
    </row>
    <row r="45" customFormat="false" ht="15" hidden="false" customHeight="false" outlineLevel="0" collapsed="false">
      <c r="A45" s="10" t="s">
        <v>32</v>
      </c>
      <c r="B45" s="10" t="s">
        <v>33</v>
      </c>
      <c r="C45" s="10" t="s">
        <v>64</v>
      </c>
      <c r="D45" s="13" t="n">
        <v>0</v>
      </c>
      <c r="E45" s="13" t="n">
        <v>0</v>
      </c>
      <c r="F45" s="14" t="n">
        <f aca="false">D45+E45</f>
        <v>0</v>
      </c>
      <c r="G45" s="14" t="n">
        <f aca="false">'Item Master'!I45</f>
        <v>1</v>
      </c>
      <c r="H45" s="15" t="str">
        <f aca="false">IF(F45=0,"OUT OF STOCK",IF(F45&lt;=G45,"REORDER","OK"))</f>
        <v>OUT OF STOCK</v>
      </c>
      <c r="I45" s="14" t="n">
        <f aca="false">'Item Master'!F45</f>
        <v>0</v>
      </c>
      <c r="J45" s="16" t="n">
        <f aca="false">IF(ISNUMBER(I45),D45*I45,0)</f>
        <v>0</v>
      </c>
    </row>
    <row r="46" customFormat="false" ht="15" hidden="false" customHeight="false" outlineLevel="0" collapsed="false">
      <c r="A46" s="10" t="s">
        <v>36</v>
      </c>
      <c r="B46" s="10" t="s">
        <v>33</v>
      </c>
      <c r="C46" s="10" t="s">
        <v>64</v>
      </c>
      <c r="D46" s="13" t="n">
        <v>0</v>
      </c>
      <c r="E46" s="13" t="n">
        <v>0</v>
      </c>
      <c r="F46" s="14" t="n">
        <f aca="false">D46+E46</f>
        <v>0</v>
      </c>
      <c r="G46" s="14" t="n">
        <f aca="false">'Item Master'!I46</f>
        <v>1</v>
      </c>
      <c r="H46" s="15" t="str">
        <f aca="false">IF(F46=0,"OUT OF STOCK",IF(F46&lt;=G46,"REORDER","OK"))</f>
        <v>OUT OF STOCK</v>
      </c>
      <c r="I46" s="14" t="n">
        <f aca="false">'Item Master'!F46</f>
        <v>0</v>
      </c>
      <c r="J46" s="16" t="n">
        <f aca="false">IF(ISNUMBER(I46),D46*I46,0)</f>
        <v>0</v>
      </c>
    </row>
    <row r="47" customFormat="false" ht="15" hidden="false" customHeight="false" outlineLevel="0" collapsed="false">
      <c r="A47" s="10" t="s">
        <v>38</v>
      </c>
      <c r="B47" s="10" t="s">
        <v>33</v>
      </c>
      <c r="C47" s="10" t="s">
        <v>64</v>
      </c>
      <c r="D47" s="13" t="n">
        <v>0</v>
      </c>
      <c r="E47" s="13" t="n">
        <v>0</v>
      </c>
      <c r="F47" s="14" t="n">
        <f aca="false">D47+E47</f>
        <v>0</v>
      </c>
      <c r="G47" s="14" t="n">
        <f aca="false">'Item Master'!I47</f>
        <v>1</v>
      </c>
      <c r="H47" s="15" t="str">
        <f aca="false">IF(F47=0,"OUT OF STOCK",IF(F47&lt;=G47,"REORDER","OK"))</f>
        <v>OUT OF STOCK</v>
      </c>
      <c r="I47" s="14" t="n">
        <f aca="false">'Item Master'!F47</f>
        <v>0</v>
      </c>
      <c r="J47" s="16" t="n">
        <f aca="false">IF(ISNUMBER(I47),D47*I47,0)</f>
        <v>0</v>
      </c>
    </row>
    <row r="48" customFormat="false" ht="15" hidden="false" customHeight="false" outlineLevel="0" collapsed="false">
      <c r="A48" s="10" t="s">
        <v>40</v>
      </c>
      <c r="B48" s="10" t="s">
        <v>33</v>
      </c>
      <c r="C48" s="10" t="s">
        <v>64</v>
      </c>
      <c r="D48" s="13" t="n">
        <v>0</v>
      </c>
      <c r="E48" s="13" t="n">
        <v>0</v>
      </c>
      <c r="F48" s="14" t="n">
        <f aca="false">D48+E48</f>
        <v>0</v>
      </c>
      <c r="G48" s="14" t="n">
        <f aca="false">'Item Master'!I48</f>
        <v>1</v>
      </c>
      <c r="H48" s="15" t="str">
        <f aca="false">IF(F48=0,"OUT OF STOCK",IF(F48&lt;=G48,"REORDER","OK"))</f>
        <v>OUT OF STOCK</v>
      </c>
      <c r="I48" s="14" t="n">
        <f aca="false">'Item Master'!F48</f>
        <v>0</v>
      </c>
      <c r="J48" s="16" t="n">
        <f aca="false">IF(ISNUMBER(I48),D48*I48,0)</f>
        <v>0</v>
      </c>
    </row>
    <row r="49" customFormat="false" ht="15" hidden="false" customHeight="false" outlineLevel="0" collapsed="false">
      <c r="A49" s="10" t="s">
        <v>42</v>
      </c>
      <c r="B49" s="10" t="s">
        <v>33</v>
      </c>
      <c r="C49" s="10" t="s">
        <v>64</v>
      </c>
      <c r="D49" s="13" t="n">
        <v>0</v>
      </c>
      <c r="E49" s="13" t="n">
        <v>0</v>
      </c>
      <c r="F49" s="14" t="n">
        <f aca="false">D49+E49</f>
        <v>0</v>
      </c>
      <c r="G49" s="14" t="n">
        <f aca="false">'Item Master'!I49</f>
        <v>1</v>
      </c>
      <c r="H49" s="15" t="str">
        <f aca="false">IF(F49=0,"OUT OF STOCK",IF(F49&lt;=G49,"REORDER","OK"))</f>
        <v>OUT OF STOCK</v>
      </c>
      <c r="I49" s="14" t="n">
        <f aca="false">'Item Master'!F49</f>
        <v>0</v>
      </c>
      <c r="J49" s="16" t="n">
        <f aca="false">IF(ISNUMBER(I49),D49*I49,0)</f>
        <v>0</v>
      </c>
    </row>
    <row r="50" customFormat="false" ht="15" hidden="false" customHeight="false" outlineLevel="0" collapsed="false">
      <c r="A50" s="10" t="s">
        <v>43</v>
      </c>
      <c r="B50" s="10" t="s">
        <v>33</v>
      </c>
      <c r="C50" s="10" t="s">
        <v>64</v>
      </c>
      <c r="D50" s="13" t="n">
        <v>0</v>
      </c>
      <c r="E50" s="13" t="n">
        <v>0</v>
      </c>
      <c r="F50" s="14" t="n">
        <f aca="false">D50+E50</f>
        <v>0</v>
      </c>
      <c r="G50" s="14" t="n">
        <f aca="false">'Item Master'!I50</f>
        <v>1</v>
      </c>
      <c r="H50" s="15" t="str">
        <f aca="false">IF(F50=0,"OUT OF STOCK",IF(F50&lt;=G50,"REORDER","OK"))</f>
        <v>OUT OF STOCK</v>
      </c>
      <c r="I50" s="14" t="n">
        <f aca="false">'Item Master'!F50</f>
        <v>0</v>
      </c>
      <c r="J50" s="16" t="n">
        <f aca="false">IF(ISNUMBER(I50),D50*I50,0)</f>
        <v>0</v>
      </c>
    </row>
    <row r="51" customFormat="false" ht="15" hidden="false" customHeight="false" outlineLevel="0" collapsed="false">
      <c r="A51" s="8" t="s">
        <v>65</v>
      </c>
      <c r="B51" s="8" t="s">
        <v>23</v>
      </c>
      <c r="C51" s="8" t="s">
        <v>66</v>
      </c>
      <c r="D51" s="13" t="n">
        <v>0</v>
      </c>
      <c r="E51" s="13" t="n">
        <v>0</v>
      </c>
      <c r="F51" s="14" t="n">
        <f aca="false">D51+E51</f>
        <v>0</v>
      </c>
      <c r="G51" s="14" t="n">
        <f aca="false">'Item Master'!I51</f>
        <v>10</v>
      </c>
      <c r="H51" s="15" t="str">
        <f aca="false">IF(F51=0,"OUT OF STOCK",IF(F51&lt;=G51,"REORDER","OK"))</f>
        <v>OUT OF STOCK</v>
      </c>
      <c r="I51" s="14" t="n">
        <f aca="false">'Item Master'!F51</f>
        <v>0</v>
      </c>
      <c r="J51" s="16" t="n">
        <f aca="false">IF(ISNUMBER(I51),D51*I51,0)</f>
        <v>0</v>
      </c>
    </row>
    <row r="52" customFormat="false" ht="15" hidden="false" customHeight="false" outlineLevel="0" collapsed="false">
      <c r="A52" s="10" t="s">
        <v>32</v>
      </c>
      <c r="B52" s="10" t="s">
        <v>33</v>
      </c>
      <c r="C52" s="10" t="s">
        <v>66</v>
      </c>
      <c r="D52" s="13" t="n">
        <v>0</v>
      </c>
      <c r="E52" s="13" t="n">
        <v>0</v>
      </c>
      <c r="F52" s="14" t="n">
        <f aca="false">D52+E52</f>
        <v>0</v>
      </c>
      <c r="G52" s="14" t="n">
        <f aca="false">'Item Master'!I52</f>
        <v>1</v>
      </c>
      <c r="H52" s="15" t="str">
        <f aca="false">IF(F52=0,"OUT OF STOCK",IF(F52&lt;=G52,"REORDER","OK"))</f>
        <v>OUT OF STOCK</v>
      </c>
      <c r="I52" s="14" t="n">
        <f aca="false">'Item Master'!F52</f>
        <v>0</v>
      </c>
      <c r="J52" s="16" t="n">
        <f aca="false">IF(ISNUMBER(I52),D52*I52,0)</f>
        <v>0</v>
      </c>
    </row>
    <row r="53" customFormat="false" ht="15" hidden="false" customHeight="false" outlineLevel="0" collapsed="false">
      <c r="A53" s="10" t="s">
        <v>36</v>
      </c>
      <c r="B53" s="10" t="s">
        <v>33</v>
      </c>
      <c r="C53" s="10" t="s">
        <v>66</v>
      </c>
      <c r="D53" s="13" t="n">
        <v>0</v>
      </c>
      <c r="E53" s="13" t="n">
        <v>0</v>
      </c>
      <c r="F53" s="14" t="n">
        <f aca="false">D53+E53</f>
        <v>0</v>
      </c>
      <c r="G53" s="14" t="n">
        <f aca="false">'Item Master'!I53</f>
        <v>1</v>
      </c>
      <c r="H53" s="15" t="str">
        <f aca="false">IF(F53=0,"OUT OF STOCK",IF(F53&lt;=G53,"REORDER","OK"))</f>
        <v>OUT OF STOCK</v>
      </c>
      <c r="I53" s="14" t="n">
        <f aca="false">'Item Master'!F53</f>
        <v>0</v>
      </c>
      <c r="J53" s="16" t="n">
        <f aca="false">IF(ISNUMBER(I53),D53*I53,0)</f>
        <v>0</v>
      </c>
    </row>
    <row r="54" customFormat="false" ht="15" hidden="false" customHeight="false" outlineLevel="0" collapsed="false">
      <c r="A54" s="10" t="s">
        <v>38</v>
      </c>
      <c r="B54" s="10" t="s">
        <v>33</v>
      </c>
      <c r="C54" s="10" t="s">
        <v>66</v>
      </c>
      <c r="D54" s="13" t="n">
        <v>0</v>
      </c>
      <c r="E54" s="13" t="n">
        <v>0</v>
      </c>
      <c r="F54" s="14" t="n">
        <f aca="false">D54+E54</f>
        <v>0</v>
      </c>
      <c r="G54" s="14" t="n">
        <f aca="false">'Item Master'!I54</f>
        <v>1</v>
      </c>
      <c r="H54" s="15" t="str">
        <f aca="false">IF(F54=0,"OUT OF STOCK",IF(F54&lt;=G54,"REORDER","OK"))</f>
        <v>OUT OF STOCK</v>
      </c>
      <c r="I54" s="14" t="n">
        <f aca="false">'Item Master'!F54</f>
        <v>0</v>
      </c>
      <c r="J54" s="16" t="n">
        <f aca="false">IF(ISNUMBER(I54),D54*I54,0)</f>
        <v>0</v>
      </c>
    </row>
    <row r="55" customFormat="false" ht="15" hidden="false" customHeight="false" outlineLevel="0" collapsed="false">
      <c r="A55" s="8" t="s">
        <v>67</v>
      </c>
      <c r="B55" s="8" t="s">
        <v>23</v>
      </c>
      <c r="C55" s="8" t="s">
        <v>68</v>
      </c>
      <c r="D55" s="13" t="n">
        <v>0</v>
      </c>
      <c r="E55" s="13" t="n">
        <v>0</v>
      </c>
      <c r="F55" s="14" t="n">
        <f aca="false">D55+E55</f>
        <v>0</v>
      </c>
      <c r="G55" s="14" t="n">
        <f aca="false">'Item Master'!I55</f>
        <v>10</v>
      </c>
      <c r="H55" s="15" t="str">
        <f aca="false">IF(F55=0,"OUT OF STOCK",IF(F55&lt;=G55,"REORDER","OK"))</f>
        <v>OUT OF STOCK</v>
      </c>
      <c r="I55" s="14" t="n">
        <f aca="false">'Item Master'!F55</f>
        <v>0</v>
      </c>
      <c r="J55" s="16" t="n">
        <f aca="false">IF(ISNUMBER(I55),D55*I55,0)</f>
        <v>0</v>
      </c>
    </row>
    <row r="56" customFormat="false" ht="15" hidden="false" customHeight="false" outlineLevel="0" collapsed="false">
      <c r="A56" s="8" t="s">
        <v>27</v>
      </c>
      <c r="B56" s="8" t="s">
        <v>23</v>
      </c>
      <c r="C56" s="8" t="s">
        <v>68</v>
      </c>
      <c r="D56" s="13" t="n">
        <v>0</v>
      </c>
      <c r="E56" s="13" t="n">
        <v>0</v>
      </c>
      <c r="F56" s="14" t="n">
        <f aca="false">D56+E56</f>
        <v>0</v>
      </c>
      <c r="G56" s="14" t="n">
        <f aca="false">'Item Master'!I56</f>
        <v>10</v>
      </c>
      <c r="H56" s="15" t="str">
        <f aca="false">IF(F56=0,"OUT OF STOCK",IF(F56&lt;=G56,"REORDER","OK"))</f>
        <v>OUT OF STOCK</v>
      </c>
      <c r="I56" s="14" t="n">
        <f aca="false">'Item Master'!F56</f>
        <v>0</v>
      </c>
      <c r="J56" s="16" t="n">
        <f aca="false">IF(ISNUMBER(I56),D56*I56,0)</f>
        <v>0</v>
      </c>
    </row>
    <row r="57" customFormat="false" ht="15" hidden="false" customHeight="false" outlineLevel="0" collapsed="false">
      <c r="A57" s="8" t="s">
        <v>69</v>
      </c>
      <c r="B57" s="8" t="s">
        <v>23</v>
      </c>
      <c r="C57" s="8" t="s">
        <v>68</v>
      </c>
      <c r="D57" s="13" t="n">
        <v>0</v>
      </c>
      <c r="E57" s="13" t="n">
        <v>0</v>
      </c>
      <c r="F57" s="14" t="n">
        <f aca="false">D57+E57</f>
        <v>0</v>
      </c>
      <c r="G57" s="14" t="n">
        <f aca="false">'Item Master'!I57</f>
        <v>20</v>
      </c>
      <c r="H57" s="15" t="str">
        <f aca="false">IF(F57=0,"OUT OF STOCK",IF(F57&lt;=G57,"REORDER","OK"))</f>
        <v>OUT OF STOCK</v>
      </c>
      <c r="I57" s="14" t="n">
        <f aca="false">'Item Master'!F57</f>
        <v>0</v>
      </c>
      <c r="J57" s="16" t="n">
        <f aca="false">IF(ISNUMBER(I57),D57*I57,0)</f>
        <v>0</v>
      </c>
    </row>
    <row r="58" customFormat="false" ht="15" hidden="false" customHeight="false" outlineLevel="0" collapsed="false">
      <c r="A58" s="10" t="s">
        <v>32</v>
      </c>
      <c r="B58" s="10" t="s">
        <v>33</v>
      </c>
      <c r="C58" s="10" t="s">
        <v>68</v>
      </c>
      <c r="D58" s="13" t="n">
        <v>0</v>
      </c>
      <c r="E58" s="13" t="n">
        <v>0</v>
      </c>
      <c r="F58" s="14" t="n">
        <f aca="false">D58+E58</f>
        <v>0</v>
      </c>
      <c r="G58" s="14" t="n">
        <f aca="false">'Item Master'!I58</f>
        <v>1</v>
      </c>
      <c r="H58" s="15" t="str">
        <f aca="false">IF(F58=0,"OUT OF STOCK",IF(F58&lt;=G58,"REORDER","OK"))</f>
        <v>OUT OF STOCK</v>
      </c>
      <c r="I58" s="14" t="n">
        <f aca="false">'Item Master'!F58</f>
        <v>0</v>
      </c>
      <c r="J58" s="16" t="n">
        <f aca="false">IF(ISNUMBER(I58),D58*I58,0)</f>
        <v>0</v>
      </c>
    </row>
    <row r="59" customFormat="false" ht="15" hidden="false" customHeight="false" outlineLevel="0" collapsed="false">
      <c r="A59" s="10" t="s">
        <v>36</v>
      </c>
      <c r="B59" s="10" t="s">
        <v>33</v>
      </c>
      <c r="C59" s="10" t="s">
        <v>68</v>
      </c>
      <c r="D59" s="13" t="n">
        <v>0</v>
      </c>
      <c r="E59" s="13" t="n">
        <v>0</v>
      </c>
      <c r="F59" s="14" t="n">
        <f aca="false">D59+E59</f>
        <v>0</v>
      </c>
      <c r="G59" s="14" t="n">
        <f aca="false">'Item Master'!I59</f>
        <v>1</v>
      </c>
      <c r="H59" s="15" t="str">
        <f aca="false">IF(F59=0,"OUT OF STOCK",IF(F59&lt;=G59,"REORDER","OK"))</f>
        <v>OUT OF STOCK</v>
      </c>
      <c r="I59" s="14" t="n">
        <f aca="false">'Item Master'!F59</f>
        <v>0</v>
      </c>
      <c r="J59" s="16" t="n">
        <f aca="false">IF(ISNUMBER(I59),D59*I59,0)</f>
        <v>0</v>
      </c>
    </row>
    <row r="60" customFormat="false" ht="15" hidden="false" customHeight="false" outlineLevel="0" collapsed="false">
      <c r="A60" s="10" t="s">
        <v>70</v>
      </c>
      <c r="B60" s="10" t="s">
        <v>33</v>
      </c>
      <c r="C60" s="10" t="s">
        <v>68</v>
      </c>
      <c r="D60" s="13" t="n">
        <v>0</v>
      </c>
      <c r="E60" s="13" t="n">
        <v>0</v>
      </c>
      <c r="F60" s="14" t="n">
        <f aca="false">D60+E60</f>
        <v>0</v>
      </c>
      <c r="G60" s="14" t="n">
        <f aca="false">'Item Master'!I60</f>
        <v>1</v>
      </c>
      <c r="H60" s="15" t="str">
        <f aca="false">IF(F60=0,"OUT OF STOCK",IF(F60&lt;=G60,"REORDER","OK"))</f>
        <v>OUT OF STOCK</v>
      </c>
      <c r="I60" s="14" t="n">
        <f aca="false">'Item Master'!F60</f>
        <v>0</v>
      </c>
      <c r="J60" s="16" t="n">
        <f aca="false">IF(ISNUMBER(I60),D60*I60,0)</f>
        <v>0</v>
      </c>
    </row>
    <row r="61" customFormat="false" ht="15" hidden="false" customHeight="false" outlineLevel="0" collapsed="false">
      <c r="A61" s="10" t="s">
        <v>71</v>
      </c>
      <c r="B61" s="10" t="s">
        <v>33</v>
      </c>
      <c r="C61" s="10" t="s">
        <v>68</v>
      </c>
      <c r="D61" s="13" t="n">
        <v>0</v>
      </c>
      <c r="E61" s="13" t="n">
        <v>0</v>
      </c>
      <c r="F61" s="14" t="n">
        <f aca="false">D61+E61</f>
        <v>0</v>
      </c>
      <c r="G61" s="14" t="n">
        <f aca="false">'Item Master'!I61</f>
        <v>1</v>
      </c>
      <c r="H61" s="15" t="str">
        <f aca="false">IF(F61=0,"OUT OF STOCK",IF(F61&lt;=G61,"REORDER","OK"))</f>
        <v>OUT OF STOCK</v>
      </c>
      <c r="I61" s="14" t="n">
        <f aca="false">'Item Master'!F61</f>
        <v>0</v>
      </c>
      <c r="J61" s="16" t="n">
        <f aca="false">IF(ISNUMBER(I61),D61*I61,0)</f>
        <v>0</v>
      </c>
    </row>
    <row r="62" customFormat="false" ht="15" hidden="false" customHeight="false" outlineLevel="0" collapsed="false">
      <c r="A62" s="8" t="s">
        <v>72</v>
      </c>
      <c r="B62" s="8" t="s">
        <v>23</v>
      </c>
      <c r="C62" s="8" t="s">
        <v>73</v>
      </c>
      <c r="D62" s="13" t="n">
        <v>0</v>
      </c>
      <c r="E62" s="13" t="n">
        <v>0</v>
      </c>
      <c r="F62" s="14" t="n">
        <f aca="false">D62+E62</f>
        <v>0</v>
      </c>
      <c r="G62" s="14" t="n">
        <f aca="false">'Item Master'!I62</f>
        <v>10</v>
      </c>
      <c r="H62" s="15" t="str">
        <f aca="false">IF(F62=0,"OUT OF STOCK",IF(F62&lt;=G62,"REORDER","OK"))</f>
        <v>OUT OF STOCK</v>
      </c>
      <c r="I62" s="14" t="n">
        <f aca="false">'Item Master'!F62</f>
        <v>0</v>
      </c>
      <c r="J62" s="16" t="n">
        <f aca="false">IF(ISNUMBER(I62),D62*I62,0)</f>
        <v>0</v>
      </c>
    </row>
    <row r="63" customFormat="false" ht="15" hidden="false" customHeight="false" outlineLevel="0" collapsed="false">
      <c r="A63" s="10" t="s">
        <v>32</v>
      </c>
      <c r="B63" s="10" t="s">
        <v>33</v>
      </c>
      <c r="C63" s="10" t="s">
        <v>73</v>
      </c>
      <c r="D63" s="13" t="n">
        <v>0</v>
      </c>
      <c r="E63" s="13" t="n">
        <v>0</v>
      </c>
      <c r="F63" s="14" t="n">
        <f aca="false">D63+E63</f>
        <v>0</v>
      </c>
      <c r="G63" s="14" t="n">
        <f aca="false">'Item Master'!I63</f>
        <v>1</v>
      </c>
      <c r="H63" s="15" t="str">
        <f aca="false">IF(F63=0,"OUT OF STOCK",IF(F63&lt;=G63,"REORDER","OK"))</f>
        <v>OUT OF STOCK</v>
      </c>
      <c r="I63" s="14" t="n">
        <f aca="false">'Item Master'!F63</f>
        <v>0</v>
      </c>
      <c r="J63" s="16" t="n">
        <f aca="false">IF(ISNUMBER(I63),D63*I63,0)</f>
        <v>0</v>
      </c>
    </row>
    <row r="64" customFormat="false" ht="15" hidden="false" customHeight="false" outlineLevel="0" collapsed="false">
      <c r="A64" s="10" t="s">
        <v>36</v>
      </c>
      <c r="B64" s="10" t="s">
        <v>33</v>
      </c>
      <c r="C64" s="10" t="s">
        <v>73</v>
      </c>
      <c r="D64" s="13" t="n">
        <v>0</v>
      </c>
      <c r="E64" s="13" t="n">
        <v>0</v>
      </c>
      <c r="F64" s="14" t="n">
        <f aca="false">D64+E64</f>
        <v>0</v>
      </c>
      <c r="G64" s="14" t="n">
        <f aca="false">'Item Master'!I64</f>
        <v>1</v>
      </c>
      <c r="H64" s="15" t="str">
        <f aca="false">IF(F64=0,"OUT OF STOCK",IF(F64&lt;=G64,"REORDER","OK"))</f>
        <v>OUT OF STOCK</v>
      </c>
      <c r="I64" s="14" t="n">
        <f aca="false">'Item Master'!F64</f>
        <v>0</v>
      </c>
      <c r="J64" s="16" t="n">
        <f aca="false">IF(ISNUMBER(I64),D64*I64,0)</f>
        <v>0</v>
      </c>
    </row>
    <row r="65" customFormat="false" ht="15" hidden="false" customHeight="false" outlineLevel="0" collapsed="false">
      <c r="A65" s="10" t="s">
        <v>38</v>
      </c>
      <c r="B65" s="10" t="s">
        <v>33</v>
      </c>
      <c r="C65" s="10" t="s">
        <v>73</v>
      </c>
      <c r="D65" s="13" t="n">
        <v>0</v>
      </c>
      <c r="E65" s="13" t="n">
        <v>0</v>
      </c>
      <c r="F65" s="14" t="n">
        <f aca="false">D65+E65</f>
        <v>0</v>
      </c>
      <c r="G65" s="14" t="n">
        <f aca="false">'Item Master'!I65</f>
        <v>1</v>
      </c>
      <c r="H65" s="15" t="str">
        <f aca="false">IF(F65=0,"OUT OF STOCK",IF(F65&lt;=G65,"REORDER","OK"))</f>
        <v>OUT OF STOCK</v>
      </c>
      <c r="I65" s="14" t="n">
        <f aca="false">'Item Master'!F65</f>
        <v>0</v>
      </c>
      <c r="J65" s="16" t="n">
        <f aca="false">IF(ISNUMBER(I65),D65*I65,0)</f>
        <v>0</v>
      </c>
    </row>
    <row r="66" customFormat="false" ht="15" hidden="false" customHeight="false" outlineLevel="0" collapsed="false">
      <c r="A66" s="10" t="s">
        <v>49</v>
      </c>
      <c r="B66" s="10" t="s">
        <v>33</v>
      </c>
      <c r="C66" s="10" t="s">
        <v>73</v>
      </c>
      <c r="D66" s="13" t="n">
        <v>0</v>
      </c>
      <c r="E66" s="13" t="n">
        <v>0</v>
      </c>
      <c r="F66" s="14" t="n">
        <f aca="false">D66+E66</f>
        <v>0</v>
      </c>
      <c r="G66" s="14" t="n">
        <f aca="false">'Item Master'!I66</f>
        <v>1</v>
      </c>
      <c r="H66" s="15" t="str">
        <f aca="false">IF(F66=0,"OUT OF STOCK",IF(F66&lt;=G66,"REORDER","OK"))</f>
        <v>OUT OF STOCK</v>
      </c>
      <c r="I66" s="14" t="n">
        <f aca="false">'Item Master'!F66</f>
        <v>0</v>
      </c>
      <c r="J66" s="16" t="n">
        <f aca="false">IF(ISNUMBER(I66),D66*I66,0)</f>
        <v>0</v>
      </c>
    </row>
    <row r="67" customFormat="false" ht="15" hidden="false" customHeight="false" outlineLevel="0" collapsed="false">
      <c r="A67" s="10" t="s">
        <v>40</v>
      </c>
      <c r="B67" s="10" t="s">
        <v>33</v>
      </c>
      <c r="C67" s="10" t="s">
        <v>73</v>
      </c>
      <c r="D67" s="13" t="n">
        <v>0</v>
      </c>
      <c r="E67" s="13" t="n">
        <v>0</v>
      </c>
      <c r="F67" s="14" t="n">
        <f aca="false">D67+E67</f>
        <v>0</v>
      </c>
      <c r="G67" s="14" t="n">
        <f aca="false">'Item Master'!I67</f>
        <v>1</v>
      </c>
      <c r="H67" s="15" t="str">
        <f aca="false">IF(F67=0,"OUT OF STOCK",IF(F67&lt;=G67,"REORDER","OK"))</f>
        <v>OUT OF STOCK</v>
      </c>
      <c r="I67" s="14" t="n">
        <f aca="false">'Item Master'!F67</f>
        <v>0</v>
      </c>
      <c r="J67" s="16" t="n">
        <f aca="false">IF(ISNUMBER(I67),D67*I67,0)</f>
        <v>0</v>
      </c>
    </row>
    <row r="68" customFormat="false" ht="15" hidden="false" customHeight="false" outlineLevel="0" collapsed="false">
      <c r="A68" s="10" t="s">
        <v>50</v>
      </c>
      <c r="B68" s="10" t="s">
        <v>33</v>
      </c>
      <c r="C68" s="10" t="s">
        <v>73</v>
      </c>
      <c r="D68" s="13" t="n">
        <v>0</v>
      </c>
      <c r="E68" s="13" t="n">
        <v>0</v>
      </c>
      <c r="F68" s="14" t="n">
        <f aca="false">D68+E68</f>
        <v>0</v>
      </c>
      <c r="G68" s="14" t="n">
        <f aca="false">'Item Master'!I68</f>
        <v>1</v>
      </c>
      <c r="H68" s="15" t="str">
        <f aca="false">IF(F68=0,"OUT OF STOCK",IF(F68&lt;=G68,"REORDER","OK"))</f>
        <v>OUT OF STOCK</v>
      </c>
      <c r="I68" s="14" t="n">
        <f aca="false">'Item Master'!F68</f>
        <v>0</v>
      </c>
      <c r="J68" s="16" t="n">
        <f aca="false">IF(ISNUMBER(I68),D68*I68,0)</f>
        <v>0</v>
      </c>
    </row>
    <row r="69" customFormat="false" ht="15" hidden="false" customHeight="false" outlineLevel="0" collapsed="false">
      <c r="A69" s="8" t="s">
        <v>74</v>
      </c>
      <c r="B69" s="8" t="s">
        <v>23</v>
      </c>
      <c r="C69" s="8" t="s">
        <v>75</v>
      </c>
      <c r="D69" s="13" t="n">
        <v>0</v>
      </c>
      <c r="E69" s="13" t="n">
        <v>0</v>
      </c>
      <c r="F69" s="14" t="n">
        <f aca="false">D69+E69</f>
        <v>0</v>
      </c>
      <c r="G69" s="14" t="n">
        <f aca="false">'Item Master'!I69</f>
        <v>5</v>
      </c>
      <c r="H69" s="15" t="str">
        <f aca="false">IF(F69=0,"OUT OF STOCK",IF(F69&lt;=G69,"REORDER","OK"))</f>
        <v>OUT OF STOCK</v>
      </c>
      <c r="I69" s="14" t="n">
        <f aca="false">'Item Master'!F69</f>
        <v>0</v>
      </c>
      <c r="J69" s="16" t="n">
        <f aca="false">IF(ISNUMBER(I69),D69*I69,0)</f>
        <v>0</v>
      </c>
    </row>
    <row r="70" customFormat="false" ht="15" hidden="false" customHeight="false" outlineLevel="0" collapsed="false">
      <c r="A70" s="10" t="s">
        <v>76</v>
      </c>
      <c r="B70" s="10" t="s">
        <v>33</v>
      </c>
      <c r="C70" s="10" t="s">
        <v>75</v>
      </c>
      <c r="D70" s="13" t="n">
        <v>0</v>
      </c>
      <c r="E70" s="13" t="n">
        <v>0</v>
      </c>
      <c r="F70" s="14" t="n">
        <f aca="false">D70+E70</f>
        <v>0</v>
      </c>
      <c r="G70" s="14" t="n">
        <f aca="false">'Item Master'!I70</f>
        <v>0</v>
      </c>
      <c r="H70" s="15" t="str">
        <f aca="false">IF(F70=0,"OUT OF STOCK",IF(F70&lt;=G70,"REORDER","OK"))</f>
        <v>OUT OF STOCK</v>
      </c>
      <c r="I70" s="14" t="n">
        <f aca="false">'Item Master'!F70</f>
        <v>0</v>
      </c>
      <c r="J70" s="16" t="n">
        <f aca="false">IF(ISNUMBER(I70),D70*I70,0)</f>
        <v>0</v>
      </c>
    </row>
    <row r="71" customFormat="false" ht="15" hidden="false" customHeight="false" outlineLevel="0" collapsed="false">
      <c r="A71" s="8" t="s">
        <v>78</v>
      </c>
      <c r="B71" s="8" t="s">
        <v>23</v>
      </c>
      <c r="C71" s="8" t="s">
        <v>79</v>
      </c>
      <c r="D71" s="13" t="n">
        <v>0</v>
      </c>
      <c r="E71" s="13" t="n">
        <v>0</v>
      </c>
      <c r="F71" s="14" t="n">
        <f aca="false">D71+E71</f>
        <v>0</v>
      </c>
      <c r="G71" s="14" t="n">
        <f aca="false">'Item Master'!I71</f>
        <v>5</v>
      </c>
      <c r="H71" s="15" t="str">
        <f aca="false">IF(F71=0,"OUT OF STOCK",IF(F71&lt;=G71,"REORDER","OK"))</f>
        <v>OUT OF STOCK</v>
      </c>
      <c r="I71" s="14" t="n">
        <f aca="false">'Item Master'!F71</f>
        <v>0</v>
      </c>
      <c r="J71" s="16" t="n">
        <f aca="false">IF(ISNUMBER(I71),D71*I71,0)</f>
        <v>0</v>
      </c>
    </row>
    <row r="72" customFormat="false" ht="15" hidden="false" customHeight="false" outlineLevel="0" collapsed="false">
      <c r="A72" s="8" t="s">
        <v>80</v>
      </c>
      <c r="B72" s="8" t="s">
        <v>23</v>
      </c>
      <c r="C72" s="8" t="s">
        <v>81</v>
      </c>
      <c r="D72" s="13" t="n">
        <v>0</v>
      </c>
      <c r="E72" s="13" t="n">
        <v>0</v>
      </c>
      <c r="F72" s="14" t="n">
        <f aca="false">D72+E72</f>
        <v>0</v>
      </c>
      <c r="G72" s="14" t="n">
        <f aca="false">'Item Master'!I72</f>
        <v>10</v>
      </c>
      <c r="H72" s="15" t="str">
        <f aca="false">IF(F72=0,"OUT OF STOCK",IF(F72&lt;=G72,"REORDER","OK"))</f>
        <v>OUT OF STOCK</v>
      </c>
      <c r="I72" s="14" t="n">
        <f aca="false">'Item Master'!F72</f>
        <v>0</v>
      </c>
      <c r="J72" s="16" t="n">
        <f aca="false">IF(ISNUMBER(I72),D72*I72,0)</f>
        <v>0</v>
      </c>
    </row>
    <row r="73" customFormat="false" ht="15" hidden="false" customHeight="false" outlineLevel="0" collapsed="false">
      <c r="A73" s="8" t="s">
        <v>82</v>
      </c>
      <c r="B73" s="8" t="s">
        <v>23</v>
      </c>
      <c r="C73" s="8" t="s">
        <v>81</v>
      </c>
      <c r="D73" s="13" t="n">
        <v>0</v>
      </c>
      <c r="E73" s="13" t="n">
        <v>0</v>
      </c>
      <c r="F73" s="14" t="n">
        <f aca="false">D73+E73</f>
        <v>0</v>
      </c>
      <c r="G73" s="14" t="n">
        <f aca="false">'Item Master'!I73</f>
        <v>20</v>
      </c>
      <c r="H73" s="15" t="str">
        <f aca="false">IF(F73=0,"OUT OF STOCK",IF(F73&lt;=G73,"REORDER","OK"))</f>
        <v>OUT OF STOCK</v>
      </c>
      <c r="I73" s="14" t="n">
        <f aca="false">'Item Master'!F73</f>
        <v>0</v>
      </c>
      <c r="J73" s="16" t="n">
        <f aca="false">IF(ISNUMBER(I73),D73*I73,0)</f>
        <v>0</v>
      </c>
    </row>
    <row r="74" customFormat="false" ht="15" hidden="false" customHeight="false" outlineLevel="0" collapsed="false">
      <c r="A74" s="8" t="s">
        <v>83</v>
      </c>
      <c r="B74" s="8" t="s">
        <v>23</v>
      </c>
      <c r="C74" s="8" t="s">
        <v>81</v>
      </c>
      <c r="D74" s="13" t="n">
        <v>0</v>
      </c>
      <c r="E74" s="13" t="n">
        <v>0</v>
      </c>
      <c r="F74" s="14" t="n">
        <f aca="false">D74+E74</f>
        <v>0</v>
      </c>
      <c r="G74" s="14" t="n">
        <f aca="false">'Item Master'!I74</f>
        <v>5</v>
      </c>
      <c r="H74" s="15" t="str">
        <f aca="false">IF(F74=0,"OUT OF STOCK",IF(F74&lt;=G74,"REORDER","OK"))</f>
        <v>OUT OF STOCK</v>
      </c>
      <c r="I74" s="14" t="n">
        <f aca="false">'Item Master'!F74</f>
        <v>0</v>
      </c>
      <c r="J74" s="16" t="n">
        <f aca="false">IF(ISNUMBER(I74),D74*I74,0)</f>
        <v>0</v>
      </c>
    </row>
    <row r="75" customFormat="false" ht="15" hidden="false" customHeight="false" outlineLevel="0" collapsed="false">
      <c r="A75" s="10" t="s">
        <v>36</v>
      </c>
      <c r="B75" s="10" t="s">
        <v>33</v>
      </c>
      <c r="C75" s="10" t="s">
        <v>81</v>
      </c>
      <c r="D75" s="13" t="n">
        <v>0</v>
      </c>
      <c r="E75" s="13" t="n">
        <v>0</v>
      </c>
      <c r="F75" s="14" t="n">
        <f aca="false">D75+E75</f>
        <v>0</v>
      </c>
      <c r="G75" s="14" t="n">
        <f aca="false">'Item Master'!I75</f>
        <v>1</v>
      </c>
      <c r="H75" s="15" t="str">
        <f aca="false">IF(F75=0,"OUT OF STOCK",IF(F75&lt;=G75,"REORDER","OK"))</f>
        <v>OUT OF STOCK</v>
      </c>
      <c r="I75" s="14" t="n">
        <f aca="false">'Item Master'!F75</f>
        <v>0</v>
      </c>
      <c r="J75" s="16" t="n">
        <f aca="false">IF(ISNUMBER(I75),D75*I75,0)</f>
        <v>0</v>
      </c>
    </row>
    <row r="76" customFormat="false" ht="15" hidden="false" customHeight="false" outlineLevel="0" collapsed="false">
      <c r="A76" s="10" t="s">
        <v>84</v>
      </c>
      <c r="B76" s="10" t="s">
        <v>33</v>
      </c>
      <c r="C76" s="10" t="s">
        <v>81</v>
      </c>
      <c r="D76" s="13" t="n">
        <v>0</v>
      </c>
      <c r="E76" s="13" t="n">
        <v>0</v>
      </c>
      <c r="F76" s="14" t="n">
        <f aca="false">D76+E76</f>
        <v>0</v>
      </c>
      <c r="G76" s="14" t="n">
        <f aca="false">'Item Master'!I76</f>
        <v>1</v>
      </c>
      <c r="H76" s="15" t="str">
        <f aca="false">IF(F76=0,"OUT OF STOCK",IF(F76&lt;=G76,"REORDER","OK"))</f>
        <v>OUT OF STOCK</v>
      </c>
      <c r="I76" s="14" t="n">
        <f aca="false">'Item Master'!F76</f>
        <v>0</v>
      </c>
      <c r="J76" s="16" t="n">
        <f aca="false">IF(ISNUMBER(I76),D76*I76,0)</f>
        <v>0</v>
      </c>
    </row>
    <row r="77" customFormat="false" ht="15" hidden="false" customHeight="false" outlineLevel="0" collapsed="false">
      <c r="A77" s="12" t="s">
        <v>85</v>
      </c>
      <c r="B77" s="12" t="s">
        <v>86</v>
      </c>
      <c r="C77" s="12" t="s">
        <v>16</v>
      </c>
      <c r="D77" s="13" t="n">
        <v>0</v>
      </c>
      <c r="E77" s="13" t="n">
        <v>0</v>
      </c>
      <c r="F77" s="14" t="n">
        <f aca="false">D77+E77</f>
        <v>0</v>
      </c>
      <c r="G77" s="14" t="n">
        <f aca="false">'Item Master'!I77</f>
        <v>5</v>
      </c>
      <c r="H77" s="15" t="str">
        <f aca="false">IF(F77=0,"OUT OF STOCK",IF(F77&lt;=G77,"REORDER","OK"))</f>
        <v>OUT OF STOCK</v>
      </c>
      <c r="I77" s="14" t="n">
        <f aca="false">'Item Master'!F77</f>
        <v>0</v>
      </c>
      <c r="J77" s="16" t="n">
        <f aca="false">IF(ISNUMBER(I77),D77*I77,0)</f>
        <v>0</v>
      </c>
    </row>
    <row r="78" customFormat="false" ht="15" hidden="false" customHeight="false" outlineLevel="0" collapsed="false">
      <c r="A78" s="12" t="s">
        <v>88</v>
      </c>
      <c r="B78" s="12" t="s">
        <v>86</v>
      </c>
      <c r="C78" s="12" t="s">
        <v>16</v>
      </c>
      <c r="D78" s="13" t="n">
        <v>0</v>
      </c>
      <c r="E78" s="13" t="n">
        <v>0</v>
      </c>
      <c r="F78" s="14" t="n">
        <f aca="false">D78+E78</f>
        <v>0</v>
      </c>
      <c r="G78" s="14" t="n">
        <f aca="false">'Item Master'!I78</f>
        <v>5</v>
      </c>
      <c r="H78" s="15" t="str">
        <f aca="false">IF(F78=0,"OUT OF STOCK",IF(F78&lt;=G78,"REORDER","OK"))</f>
        <v>OUT OF STOCK</v>
      </c>
      <c r="I78" s="14" t="n">
        <f aca="false">'Item Master'!F78</f>
        <v>0</v>
      </c>
      <c r="J78" s="16" t="n">
        <f aca="false">IF(ISNUMBER(I78),D78*I78,0)</f>
        <v>0</v>
      </c>
    </row>
    <row r="79" customFormat="false" ht="15" hidden="false" customHeight="false" outlineLevel="0" collapsed="false">
      <c r="A79" s="12" t="s">
        <v>90</v>
      </c>
      <c r="B79" s="12" t="s">
        <v>86</v>
      </c>
      <c r="C79" s="12" t="s">
        <v>16</v>
      </c>
      <c r="D79" s="13" t="n">
        <v>0</v>
      </c>
      <c r="E79" s="13" t="n">
        <v>0</v>
      </c>
      <c r="F79" s="14" t="n">
        <f aca="false">D79+E79</f>
        <v>0</v>
      </c>
      <c r="G79" s="14" t="n">
        <f aca="false">'Item Master'!I79</f>
        <v>5</v>
      </c>
      <c r="H79" s="15" t="str">
        <f aca="false">IF(F79=0,"OUT OF STOCK",IF(F79&lt;=G79,"REORDER","OK"))</f>
        <v>OUT OF STOCK</v>
      </c>
      <c r="I79" s="14" t="n">
        <f aca="false">'Item Master'!F79</f>
        <v>0</v>
      </c>
      <c r="J79" s="16" t="n">
        <f aca="false">IF(ISNUMBER(I79),D79*I79,0)</f>
        <v>0</v>
      </c>
    </row>
    <row r="80" customFormat="false" ht="15" hidden="false" customHeight="false" outlineLevel="0" collapsed="false">
      <c r="A80" s="12" t="s">
        <v>92</v>
      </c>
      <c r="B80" s="12" t="s">
        <v>86</v>
      </c>
      <c r="C80" s="12" t="s">
        <v>16</v>
      </c>
      <c r="D80" s="13" t="n">
        <v>0</v>
      </c>
      <c r="E80" s="13" t="n">
        <v>0</v>
      </c>
      <c r="F80" s="14" t="n">
        <f aca="false">D80+E80</f>
        <v>0</v>
      </c>
      <c r="G80" s="14" t="n">
        <f aca="false">'Item Master'!I80</f>
        <v>10</v>
      </c>
      <c r="H80" s="15" t="str">
        <f aca="false">IF(F80=0,"OUT OF STOCK",IF(F80&lt;=G80,"REORDER","OK"))</f>
        <v>OUT OF STOCK</v>
      </c>
      <c r="I80" s="14" t="n">
        <f aca="false">'Item Master'!F80</f>
        <v>0</v>
      </c>
      <c r="J80" s="16" t="n">
        <f aca="false">IF(ISNUMBER(I80),D80*I80,0)</f>
        <v>0</v>
      </c>
    </row>
  </sheetData>
  <autoFilter ref="A3:J80"/>
  <mergeCells count="2">
    <mergeCell ref="A1:J1"/>
    <mergeCell ref="A2:J2"/>
  </mergeCells>
  <conditionalFormatting sqref="H4:H80">
    <cfRule type="expression" priority="2" aboveAverage="0" equalAverage="0" bottom="0" percent="0" rank="0" text="" dxfId="13">
      <formula>H4="OK"</formula>
    </cfRule>
    <cfRule type="expression" priority="3" aboveAverage="0" equalAverage="0" bottom="0" percent="0" rank="0" text="" dxfId="14">
      <formula>H4="REORDER"</formula>
    </cfRule>
    <cfRule type="expression" priority="4" aboveAverage="0" equalAverage="0" bottom="0" percent="0" rank="0" text="" dxfId="15">
      <formula>H4="OUT OF STOCK"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I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30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7" t="s">
        <v>101</v>
      </c>
      <c r="B2" s="17"/>
      <c r="C2" s="17"/>
      <c r="D2" s="18"/>
      <c r="E2" s="18"/>
      <c r="F2" s="18"/>
      <c r="G2" s="17" t="s">
        <v>102</v>
      </c>
      <c r="H2" s="17"/>
      <c r="I2" s="17"/>
    </row>
    <row r="3" customFormat="false" ht="15" hidden="false" customHeight="false" outlineLevel="0" collapsed="false">
      <c r="A3" s="17" t="s">
        <v>103</v>
      </c>
      <c r="B3" s="17"/>
      <c r="C3" s="17"/>
      <c r="D3" s="18"/>
      <c r="E3" s="18"/>
      <c r="F3" s="18"/>
      <c r="G3" s="17" t="s">
        <v>104</v>
      </c>
      <c r="H3" s="17"/>
      <c r="I3" s="17"/>
    </row>
    <row r="4" customFormat="false" ht="42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95</v>
      </c>
      <c r="F4" s="3" t="s">
        <v>105</v>
      </c>
      <c r="G4" s="3" t="s">
        <v>106</v>
      </c>
      <c r="H4" s="3" t="s">
        <v>107</v>
      </c>
      <c r="I4" s="3" t="s">
        <v>108</v>
      </c>
    </row>
    <row r="5" customFormat="false" ht="15" hidden="false" customHeight="false" outlineLevel="0" collapsed="false">
      <c r="A5" s="5" t="s">
        <v>14</v>
      </c>
      <c r="B5" s="5" t="s">
        <v>15</v>
      </c>
      <c r="C5" s="5" t="s">
        <v>16</v>
      </c>
      <c r="D5" s="5" t="s">
        <v>17</v>
      </c>
      <c r="E5" s="13" t="n">
        <v>0</v>
      </c>
      <c r="F5" s="13" t="s">
        <v>109</v>
      </c>
      <c r="G5" s="14" t="n">
        <v>0</v>
      </c>
      <c r="H5" s="14" t="n">
        <f aca="false">MAX(0,G5-E5)</f>
        <v>0</v>
      </c>
      <c r="I5" s="19"/>
    </row>
    <row r="6" customFormat="false" ht="15" hidden="false" customHeight="false" outlineLevel="0" collapsed="false">
      <c r="A6" s="5" t="s">
        <v>19</v>
      </c>
      <c r="B6" s="5" t="s">
        <v>15</v>
      </c>
      <c r="C6" s="5" t="s">
        <v>16</v>
      </c>
      <c r="D6" s="5" t="s">
        <v>17</v>
      </c>
      <c r="E6" s="13" t="n">
        <v>0</v>
      </c>
      <c r="F6" s="13" t="s">
        <v>109</v>
      </c>
      <c r="G6" s="14" t="n">
        <v>0</v>
      </c>
      <c r="H6" s="14" t="n">
        <f aca="false">MAX(0,G6-E6)</f>
        <v>0</v>
      </c>
      <c r="I6" s="19"/>
    </row>
    <row r="7" customFormat="false" ht="15" hidden="false" customHeight="false" outlineLevel="0" collapsed="false">
      <c r="A7" s="5" t="s">
        <v>21</v>
      </c>
      <c r="B7" s="5" t="s">
        <v>15</v>
      </c>
      <c r="C7" s="5" t="s">
        <v>16</v>
      </c>
      <c r="D7" s="5" t="s">
        <v>17</v>
      </c>
      <c r="E7" s="13" t="n">
        <v>0</v>
      </c>
      <c r="F7" s="13" t="s">
        <v>109</v>
      </c>
      <c r="G7" s="14" t="n">
        <v>0</v>
      </c>
      <c r="H7" s="14" t="n">
        <f aca="false">MAX(0,G7-E7)</f>
        <v>0</v>
      </c>
      <c r="I7" s="19"/>
    </row>
    <row r="8" customFormat="false" ht="15" hidden="false" customHeight="false" outlineLevel="0" collapsed="false">
      <c r="A8" s="8" t="s">
        <v>22</v>
      </c>
      <c r="B8" s="8" t="s">
        <v>23</v>
      </c>
      <c r="C8" s="8" t="s">
        <v>24</v>
      </c>
      <c r="D8" s="8" t="s">
        <v>17</v>
      </c>
      <c r="E8" s="13" t="n">
        <v>0</v>
      </c>
      <c r="F8" s="13" t="s">
        <v>109</v>
      </c>
      <c r="G8" s="14" t="n">
        <v>0</v>
      </c>
      <c r="H8" s="14" t="n">
        <f aca="false">MAX(0,G8-E8)</f>
        <v>0</v>
      </c>
      <c r="I8" s="19"/>
    </row>
    <row r="9" customFormat="false" ht="15" hidden="false" customHeight="false" outlineLevel="0" collapsed="false">
      <c r="A9" s="8" t="s">
        <v>25</v>
      </c>
      <c r="B9" s="8" t="s">
        <v>23</v>
      </c>
      <c r="C9" s="8" t="s">
        <v>24</v>
      </c>
      <c r="D9" s="8" t="s">
        <v>17</v>
      </c>
      <c r="E9" s="13" t="n">
        <v>0</v>
      </c>
      <c r="F9" s="13" t="s">
        <v>109</v>
      </c>
      <c r="G9" s="14" t="n">
        <v>0</v>
      </c>
      <c r="H9" s="14" t="n">
        <f aca="false">MAX(0,G9-E9)</f>
        <v>0</v>
      </c>
      <c r="I9" s="19"/>
    </row>
    <row r="10" customFormat="false" ht="15" hidden="false" customHeight="false" outlineLevel="0" collapsed="false">
      <c r="A10" s="8" t="s">
        <v>26</v>
      </c>
      <c r="B10" s="8" t="s">
        <v>23</v>
      </c>
      <c r="C10" s="8" t="s">
        <v>24</v>
      </c>
      <c r="D10" s="8" t="s">
        <v>17</v>
      </c>
      <c r="E10" s="13" t="n">
        <v>0</v>
      </c>
      <c r="F10" s="13" t="s">
        <v>109</v>
      </c>
      <c r="G10" s="14" t="n">
        <v>0</v>
      </c>
      <c r="H10" s="14" t="n">
        <f aca="false">MAX(0,G10-E10)</f>
        <v>0</v>
      </c>
      <c r="I10" s="19"/>
    </row>
    <row r="11" customFormat="false" ht="15" hidden="false" customHeight="false" outlineLevel="0" collapsed="false">
      <c r="A11" s="8" t="s">
        <v>27</v>
      </c>
      <c r="B11" s="8" t="s">
        <v>23</v>
      </c>
      <c r="C11" s="8" t="s">
        <v>24</v>
      </c>
      <c r="D11" s="8" t="s">
        <v>17</v>
      </c>
      <c r="E11" s="13" t="n">
        <v>0</v>
      </c>
      <c r="F11" s="13" t="s">
        <v>109</v>
      </c>
      <c r="G11" s="14" t="n">
        <v>0</v>
      </c>
      <c r="H11" s="14" t="n">
        <f aca="false">MAX(0,G11-E11)</f>
        <v>0</v>
      </c>
      <c r="I11" s="19"/>
    </row>
    <row r="12" customFormat="false" ht="15" hidden="false" customHeight="false" outlineLevel="0" collapsed="false">
      <c r="A12" s="8" t="s">
        <v>28</v>
      </c>
      <c r="B12" s="8" t="s">
        <v>23</v>
      </c>
      <c r="C12" s="8" t="s">
        <v>24</v>
      </c>
      <c r="D12" s="8" t="s">
        <v>17</v>
      </c>
      <c r="E12" s="13" t="n">
        <v>0</v>
      </c>
      <c r="F12" s="13" t="s">
        <v>109</v>
      </c>
      <c r="G12" s="14" t="n">
        <v>0</v>
      </c>
      <c r="H12" s="14" t="n">
        <f aca="false">MAX(0,G12-E12)</f>
        <v>0</v>
      </c>
      <c r="I12" s="19"/>
    </row>
    <row r="13" customFormat="false" ht="15" hidden="false" customHeight="false" outlineLevel="0" collapsed="false">
      <c r="A13" s="8" t="s">
        <v>29</v>
      </c>
      <c r="B13" s="8" t="s">
        <v>23</v>
      </c>
      <c r="C13" s="8" t="s">
        <v>24</v>
      </c>
      <c r="D13" s="8" t="s">
        <v>30</v>
      </c>
      <c r="E13" s="13" t="n">
        <v>0</v>
      </c>
      <c r="F13" s="13" t="s">
        <v>109</v>
      </c>
      <c r="G13" s="14" t="n">
        <v>0</v>
      </c>
      <c r="H13" s="14" t="n">
        <f aca="false">MAX(0,G13-E13)</f>
        <v>0</v>
      </c>
      <c r="I13" s="19"/>
    </row>
    <row r="14" customFormat="false" ht="15" hidden="false" customHeight="false" outlineLevel="0" collapsed="false">
      <c r="A14" s="10" t="s">
        <v>32</v>
      </c>
      <c r="B14" s="10" t="s">
        <v>33</v>
      </c>
      <c r="C14" s="10" t="s">
        <v>24</v>
      </c>
      <c r="D14" s="10" t="s">
        <v>34</v>
      </c>
      <c r="E14" s="13" t="n">
        <v>0</v>
      </c>
      <c r="F14" s="13" t="s">
        <v>109</v>
      </c>
      <c r="G14" s="14" t="n">
        <f aca="false">4*H2</f>
        <v>0</v>
      </c>
      <c r="H14" s="14" t="n">
        <f aca="false">MAX(0,G14-E14)</f>
        <v>0</v>
      </c>
      <c r="I14" s="19"/>
    </row>
    <row r="15" customFormat="false" ht="15" hidden="false" customHeight="false" outlineLevel="0" collapsed="false">
      <c r="A15" s="10" t="s">
        <v>36</v>
      </c>
      <c r="B15" s="10" t="s">
        <v>33</v>
      </c>
      <c r="C15" s="10" t="s">
        <v>24</v>
      </c>
      <c r="D15" s="10" t="s">
        <v>34</v>
      </c>
      <c r="E15" s="13" t="n">
        <v>0</v>
      </c>
      <c r="F15" s="13" t="s">
        <v>109</v>
      </c>
      <c r="G15" s="14" t="n">
        <f aca="false">6*H2</f>
        <v>0</v>
      </c>
      <c r="H15" s="14" t="n">
        <f aca="false">MAX(0,G15-E15)</f>
        <v>0</v>
      </c>
      <c r="I15" s="19"/>
    </row>
    <row r="16" customFormat="false" ht="15" hidden="false" customHeight="false" outlineLevel="0" collapsed="false">
      <c r="A16" s="10" t="s">
        <v>38</v>
      </c>
      <c r="B16" s="10" t="s">
        <v>33</v>
      </c>
      <c r="C16" s="10" t="s">
        <v>24</v>
      </c>
      <c r="D16" s="10" t="s">
        <v>34</v>
      </c>
      <c r="E16" s="13" t="n">
        <v>0</v>
      </c>
      <c r="F16" s="13" t="s">
        <v>109</v>
      </c>
      <c r="G16" s="14" t="n">
        <f aca="false">1*H2</f>
        <v>0</v>
      </c>
      <c r="H16" s="14" t="n">
        <f aca="false">MAX(0,G16-E16)</f>
        <v>0</v>
      </c>
      <c r="I16" s="19"/>
    </row>
    <row r="17" customFormat="false" ht="15" hidden="false" customHeight="false" outlineLevel="0" collapsed="false">
      <c r="A17" s="10" t="s">
        <v>40</v>
      </c>
      <c r="B17" s="10" t="s">
        <v>33</v>
      </c>
      <c r="C17" s="10" t="s">
        <v>24</v>
      </c>
      <c r="D17" s="10" t="s">
        <v>34</v>
      </c>
      <c r="E17" s="13" t="n">
        <v>0</v>
      </c>
      <c r="F17" s="13" t="s">
        <v>109</v>
      </c>
      <c r="G17" s="14" t="n">
        <f aca="false">2*H2</f>
        <v>0</v>
      </c>
      <c r="H17" s="14" t="n">
        <f aca="false">MAX(0,G17-E17)</f>
        <v>0</v>
      </c>
      <c r="I17" s="19"/>
    </row>
    <row r="18" customFormat="false" ht="15" hidden="false" customHeight="false" outlineLevel="0" collapsed="false">
      <c r="A18" s="10" t="s">
        <v>42</v>
      </c>
      <c r="B18" s="10" t="s">
        <v>33</v>
      </c>
      <c r="C18" s="10" t="s">
        <v>24</v>
      </c>
      <c r="D18" s="10" t="s">
        <v>34</v>
      </c>
      <c r="E18" s="13" t="n">
        <v>0</v>
      </c>
      <c r="F18" s="13" t="s">
        <v>109</v>
      </c>
      <c r="G18" s="14" t="n">
        <f aca="false">2*H2</f>
        <v>0</v>
      </c>
      <c r="H18" s="14" t="n">
        <f aca="false">MAX(0,G18-E18)</f>
        <v>0</v>
      </c>
      <c r="I18" s="19"/>
    </row>
    <row r="19" customFormat="false" ht="15" hidden="false" customHeight="false" outlineLevel="0" collapsed="false">
      <c r="A19" s="10" t="s">
        <v>43</v>
      </c>
      <c r="B19" s="10" t="s">
        <v>33</v>
      </c>
      <c r="C19" s="10" t="s">
        <v>24</v>
      </c>
      <c r="D19" s="10" t="s">
        <v>34</v>
      </c>
      <c r="E19" s="13" t="n">
        <v>0</v>
      </c>
      <c r="F19" s="13" t="s">
        <v>109</v>
      </c>
      <c r="G19" s="14" t="n">
        <f aca="false">2*H2</f>
        <v>0</v>
      </c>
      <c r="H19" s="14" t="n">
        <f aca="false">MAX(0,G19-E19)</f>
        <v>0</v>
      </c>
      <c r="I19" s="19"/>
    </row>
    <row r="20" customFormat="false" ht="15" hidden="false" customHeight="false" outlineLevel="0" collapsed="false">
      <c r="A20" s="8" t="s">
        <v>44</v>
      </c>
      <c r="B20" s="8" t="s">
        <v>23</v>
      </c>
      <c r="C20" s="8" t="s">
        <v>45</v>
      </c>
      <c r="D20" s="8" t="s">
        <v>17</v>
      </c>
      <c r="E20" s="13" t="n">
        <v>0</v>
      </c>
      <c r="F20" s="13" t="s">
        <v>109</v>
      </c>
      <c r="G20" s="14" t="n">
        <v>0</v>
      </c>
      <c r="H20" s="14" t="n">
        <f aca="false">MAX(0,G20-E20)</f>
        <v>0</v>
      </c>
      <c r="I20" s="19"/>
    </row>
    <row r="21" customFormat="false" ht="15" hidden="false" customHeight="false" outlineLevel="0" collapsed="false">
      <c r="A21" s="8" t="s">
        <v>46</v>
      </c>
      <c r="B21" s="8" t="s">
        <v>23</v>
      </c>
      <c r="C21" s="8" t="s">
        <v>45</v>
      </c>
      <c r="D21" s="8" t="s">
        <v>17</v>
      </c>
      <c r="E21" s="13" t="n">
        <v>0</v>
      </c>
      <c r="F21" s="13" t="s">
        <v>109</v>
      </c>
      <c r="G21" s="14" t="n">
        <v>0</v>
      </c>
      <c r="H21" s="14" t="n">
        <f aca="false">MAX(0,G21-E21)</f>
        <v>0</v>
      </c>
      <c r="I21" s="19"/>
    </row>
    <row r="22" customFormat="false" ht="15" hidden="false" customHeight="false" outlineLevel="0" collapsed="false">
      <c r="A22" s="8" t="s">
        <v>47</v>
      </c>
      <c r="B22" s="8" t="s">
        <v>23</v>
      </c>
      <c r="C22" s="8" t="s">
        <v>45</v>
      </c>
      <c r="D22" s="8" t="s">
        <v>17</v>
      </c>
      <c r="E22" s="13" t="n">
        <v>0</v>
      </c>
      <c r="F22" s="13" t="s">
        <v>109</v>
      </c>
      <c r="G22" s="14" t="n">
        <v>0</v>
      </c>
      <c r="H22" s="14" t="n">
        <f aca="false">MAX(0,G22-E22)</f>
        <v>0</v>
      </c>
      <c r="I22" s="19"/>
    </row>
    <row r="23" customFormat="false" ht="15" hidden="false" customHeight="false" outlineLevel="0" collapsed="false">
      <c r="A23" s="8" t="s">
        <v>48</v>
      </c>
      <c r="B23" s="8" t="s">
        <v>23</v>
      </c>
      <c r="C23" s="8" t="s">
        <v>45</v>
      </c>
      <c r="D23" s="8" t="s">
        <v>30</v>
      </c>
      <c r="E23" s="13" t="n">
        <v>0</v>
      </c>
      <c r="F23" s="13" t="s">
        <v>109</v>
      </c>
      <c r="G23" s="14" t="n">
        <v>0</v>
      </c>
      <c r="H23" s="14" t="n">
        <f aca="false">MAX(0,G23-E23)</f>
        <v>0</v>
      </c>
      <c r="I23" s="19"/>
    </row>
    <row r="24" customFormat="false" ht="15" hidden="false" customHeight="false" outlineLevel="0" collapsed="false">
      <c r="A24" s="10" t="s">
        <v>32</v>
      </c>
      <c r="B24" s="10" t="s">
        <v>33</v>
      </c>
      <c r="C24" s="10" t="s">
        <v>45</v>
      </c>
      <c r="D24" s="10" t="s">
        <v>34</v>
      </c>
      <c r="E24" s="13" t="n">
        <v>0</v>
      </c>
      <c r="F24" s="13" t="s">
        <v>109</v>
      </c>
      <c r="G24" s="14" t="n">
        <f aca="false">4*H2</f>
        <v>0</v>
      </c>
      <c r="H24" s="14" t="n">
        <f aca="false">MAX(0,G24-E24)</f>
        <v>0</v>
      </c>
      <c r="I24" s="19"/>
    </row>
    <row r="25" customFormat="false" ht="15" hidden="false" customHeight="false" outlineLevel="0" collapsed="false">
      <c r="A25" s="10" t="s">
        <v>36</v>
      </c>
      <c r="B25" s="10" t="s">
        <v>33</v>
      </c>
      <c r="C25" s="10" t="s">
        <v>45</v>
      </c>
      <c r="D25" s="10" t="s">
        <v>34</v>
      </c>
      <c r="E25" s="13" t="n">
        <v>0</v>
      </c>
      <c r="F25" s="13" t="s">
        <v>109</v>
      </c>
      <c r="G25" s="14" t="n">
        <f aca="false">6*H2</f>
        <v>0</v>
      </c>
      <c r="H25" s="14" t="n">
        <f aca="false">MAX(0,G25-E25)</f>
        <v>0</v>
      </c>
      <c r="I25" s="19"/>
    </row>
    <row r="26" customFormat="false" ht="15" hidden="false" customHeight="false" outlineLevel="0" collapsed="false">
      <c r="A26" s="10" t="s">
        <v>38</v>
      </c>
      <c r="B26" s="10" t="s">
        <v>33</v>
      </c>
      <c r="C26" s="10" t="s">
        <v>45</v>
      </c>
      <c r="D26" s="10" t="s">
        <v>34</v>
      </c>
      <c r="E26" s="13" t="n">
        <v>0</v>
      </c>
      <c r="F26" s="13" t="s">
        <v>109</v>
      </c>
      <c r="G26" s="14" t="n">
        <f aca="false">1*H2</f>
        <v>0</v>
      </c>
      <c r="H26" s="14" t="n">
        <f aca="false">MAX(0,G26-E26)</f>
        <v>0</v>
      </c>
      <c r="I26" s="19"/>
    </row>
    <row r="27" customFormat="false" ht="15" hidden="false" customHeight="false" outlineLevel="0" collapsed="false">
      <c r="A27" s="10" t="s">
        <v>49</v>
      </c>
      <c r="B27" s="10" t="s">
        <v>33</v>
      </c>
      <c r="C27" s="10" t="s">
        <v>45</v>
      </c>
      <c r="D27" s="10" t="s">
        <v>34</v>
      </c>
      <c r="E27" s="13" t="n">
        <v>0</v>
      </c>
      <c r="F27" s="13" t="s">
        <v>109</v>
      </c>
      <c r="G27" s="14" t="n">
        <f aca="false">1*H2</f>
        <v>0</v>
      </c>
      <c r="H27" s="14" t="n">
        <f aca="false">MAX(0,G27-E27)</f>
        <v>0</v>
      </c>
      <c r="I27" s="19"/>
    </row>
    <row r="28" customFormat="false" ht="15" hidden="false" customHeight="false" outlineLevel="0" collapsed="false">
      <c r="A28" s="10" t="s">
        <v>40</v>
      </c>
      <c r="B28" s="10" t="s">
        <v>33</v>
      </c>
      <c r="C28" s="10" t="s">
        <v>45</v>
      </c>
      <c r="D28" s="10" t="s">
        <v>34</v>
      </c>
      <c r="E28" s="13" t="n">
        <v>0</v>
      </c>
      <c r="F28" s="13" t="s">
        <v>109</v>
      </c>
      <c r="G28" s="14" t="n">
        <f aca="false">2*H2</f>
        <v>0</v>
      </c>
      <c r="H28" s="14" t="n">
        <f aca="false">MAX(0,G28-E28)</f>
        <v>0</v>
      </c>
      <c r="I28" s="19"/>
    </row>
    <row r="29" customFormat="false" ht="15" hidden="false" customHeight="false" outlineLevel="0" collapsed="false">
      <c r="A29" s="10" t="s">
        <v>50</v>
      </c>
      <c r="B29" s="10" t="s">
        <v>33</v>
      </c>
      <c r="C29" s="10" t="s">
        <v>45</v>
      </c>
      <c r="D29" s="10" t="s">
        <v>34</v>
      </c>
      <c r="E29" s="13" t="n">
        <v>0</v>
      </c>
      <c r="F29" s="13" t="s">
        <v>109</v>
      </c>
      <c r="G29" s="14" t="n">
        <f aca="false">1*H2</f>
        <v>0</v>
      </c>
      <c r="H29" s="14" t="n">
        <f aca="false">MAX(0,G29-E29)</f>
        <v>0</v>
      </c>
      <c r="I29" s="19"/>
    </row>
    <row r="30" customFormat="false" ht="15" hidden="false" customHeight="false" outlineLevel="0" collapsed="false">
      <c r="A30" s="10" t="s">
        <v>51</v>
      </c>
      <c r="B30" s="10" t="s">
        <v>33</v>
      </c>
      <c r="C30" s="10" t="s">
        <v>45</v>
      </c>
      <c r="D30" s="10" t="s">
        <v>34</v>
      </c>
      <c r="E30" s="13" t="n">
        <v>0</v>
      </c>
      <c r="F30" s="13" t="s">
        <v>109</v>
      </c>
      <c r="G30" s="14" t="n">
        <f aca="false">1*H2</f>
        <v>0</v>
      </c>
      <c r="H30" s="14" t="n">
        <f aca="false">MAX(0,G30-E30)</f>
        <v>0</v>
      </c>
      <c r="I30" s="19"/>
    </row>
    <row r="31" customFormat="false" ht="15" hidden="false" customHeight="false" outlineLevel="0" collapsed="false">
      <c r="A31" s="10" t="s">
        <v>52</v>
      </c>
      <c r="B31" s="10" t="s">
        <v>33</v>
      </c>
      <c r="C31" s="10" t="s">
        <v>45</v>
      </c>
      <c r="D31" s="10" t="s">
        <v>34</v>
      </c>
      <c r="E31" s="13" t="n">
        <v>0</v>
      </c>
      <c r="F31" s="13" t="s">
        <v>109</v>
      </c>
      <c r="G31" s="14" t="n">
        <f aca="false">1*H2</f>
        <v>0</v>
      </c>
      <c r="H31" s="14" t="n">
        <f aca="false">MAX(0,G31-E31)</f>
        <v>0</v>
      </c>
      <c r="I31" s="19"/>
    </row>
    <row r="32" customFormat="false" ht="15" hidden="false" customHeight="false" outlineLevel="0" collapsed="false">
      <c r="A32" s="8" t="s">
        <v>53</v>
      </c>
      <c r="B32" s="8" t="s">
        <v>23</v>
      </c>
      <c r="C32" s="8" t="s">
        <v>54</v>
      </c>
      <c r="D32" s="8" t="s">
        <v>17</v>
      </c>
      <c r="E32" s="13" t="n">
        <v>0</v>
      </c>
      <c r="F32" s="13" t="s">
        <v>109</v>
      </c>
      <c r="G32" s="14" t="n">
        <v>0</v>
      </c>
      <c r="H32" s="14" t="n">
        <f aca="false">MAX(0,G32-E32)</f>
        <v>0</v>
      </c>
      <c r="I32" s="19"/>
    </row>
    <row r="33" customFormat="false" ht="15" hidden="false" customHeight="false" outlineLevel="0" collapsed="false">
      <c r="A33" s="8" t="s">
        <v>55</v>
      </c>
      <c r="B33" s="8" t="s">
        <v>23</v>
      </c>
      <c r="C33" s="8" t="s">
        <v>54</v>
      </c>
      <c r="D33" s="8" t="s">
        <v>17</v>
      </c>
      <c r="E33" s="13" t="n">
        <v>0</v>
      </c>
      <c r="F33" s="13" t="s">
        <v>109</v>
      </c>
      <c r="G33" s="14" t="n">
        <v>0</v>
      </c>
      <c r="H33" s="14" t="n">
        <f aca="false">MAX(0,G33-E33)</f>
        <v>0</v>
      </c>
      <c r="I33" s="19"/>
    </row>
    <row r="34" customFormat="false" ht="15" hidden="false" customHeight="false" outlineLevel="0" collapsed="false">
      <c r="A34" s="8" t="s">
        <v>56</v>
      </c>
      <c r="B34" s="8" t="s">
        <v>23</v>
      </c>
      <c r="C34" s="8" t="s">
        <v>54</v>
      </c>
      <c r="D34" s="8" t="s">
        <v>30</v>
      </c>
      <c r="E34" s="13" t="n">
        <v>0</v>
      </c>
      <c r="F34" s="13" t="s">
        <v>109</v>
      </c>
      <c r="G34" s="14" t="n">
        <v>0</v>
      </c>
      <c r="H34" s="14" t="n">
        <f aca="false">MAX(0,G34-E34)</f>
        <v>0</v>
      </c>
      <c r="I34" s="19"/>
    </row>
    <row r="35" customFormat="false" ht="15" hidden="false" customHeight="false" outlineLevel="0" collapsed="false">
      <c r="A35" s="8" t="s">
        <v>57</v>
      </c>
      <c r="B35" s="8" t="s">
        <v>23</v>
      </c>
      <c r="C35" s="8" t="s">
        <v>54</v>
      </c>
      <c r="D35" s="8" t="s">
        <v>17</v>
      </c>
      <c r="E35" s="13" t="n">
        <v>0</v>
      </c>
      <c r="F35" s="13" t="s">
        <v>109</v>
      </c>
      <c r="G35" s="14" t="n">
        <v>0</v>
      </c>
      <c r="H35" s="14" t="n">
        <f aca="false">MAX(0,G35-E35)</f>
        <v>0</v>
      </c>
      <c r="I35" s="19"/>
    </row>
    <row r="36" customFormat="false" ht="15" hidden="false" customHeight="false" outlineLevel="0" collapsed="false">
      <c r="A36" s="8" t="s">
        <v>58</v>
      </c>
      <c r="B36" s="8" t="s">
        <v>23</v>
      </c>
      <c r="C36" s="8" t="s">
        <v>54</v>
      </c>
      <c r="D36" s="8" t="s">
        <v>17</v>
      </c>
      <c r="E36" s="13" t="n">
        <v>0</v>
      </c>
      <c r="F36" s="13" t="s">
        <v>109</v>
      </c>
      <c r="G36" s="14" t="n">
        <v>0</v>
      </c>
      <c r="H36" s="14" t="n">
        <f aca="false">MAX(0,G36-E36)</f>
        <v>0</v>
      </c>
      <c r="I36" s="19"/>
    </row>
    <row r="37" customFormat="false" ht="15" hidden="false" customHeight="false" outlineLevel="0" collapsed="false">
      <c r="A37" s="8" t="s">
        <v>60</v>
      </c>
      <c r="B37" s="8" t="s">
        <v>23</v>
      </c>
      <c r="C37" s="8" t="s">
        <v>54</v>
      </c>
      <c r="D37" s="8" t="s">
        <v>17</v>
      </c>
      <c r="E37" s="13" t="n">
        <v>0</v>
      </c>
      <c r="F37" s="13" t="s">
        <v>109</v>
      </c>
      <c r="G37" s="14" t="n">
        <v>0</v>
      </c>
      <c r="H37" s="14" t="n">
        <f aca="false">MAX(0,G37-E37)</f>
        <v>0</v>
      </c>
      <c r="I37" s="19"/>
    </row>
    <row r="38" customFormat="false" ht="15" hidden="false" customHeight="false" outlineLevel="0" collapsed="false">
      <c r="A38" s="8" t="s">
        <v>61</v>
      </c>
      <c r="B38" s="8" t="s">
        <v>23</v>
      </c>
      <c r="C38" s="8" t="s">
        <v>54</v>
      </c>
      <c r="D38" s="8" t="s">
        <v>17</v>
      </c>
      <c r="E38" s="13" t="n">
        <v>0</v>
      </c>
      <c r="F38" s="13" t="s">
        <v>109</v>
      </c>
      <c r="G38" s="14" t="n">
        <v>0</v>
      </c>
      <c r="H38" s="14" t="n">
        <f aca="false">MAX(0,G38-E38)</f>
        <v>0</v>
      </c>
      <c r="I38" s="19"/>
    </row>
    <row r="39" customFormat="false" ht="15" hidden="false" customHeight="false" outlineLevel="0" collapsed="false">
      <c r="A39" s="8" t="s">
        <v>62</v>
      </c>
      <c r="B39" s="8" t="s">
        <v>23</v>
      </c>
      <c r="C39" s="8" t="s">
        <v>54</v>
      </c>
      <c r="D39" s="8" t="s">
        <v>17</v>
      </c>
      <c r="E39" s="13" t="n">
        <v>0</v>
      </c>
      <c r="F39" s="13" t="s">
        <v>109</v>
      </c>
      <c r="G39" s="14" t="n">
        <v>0</v>
      </c>
      <c r="H39" s="14" t="n">
        <f aca="false">MAX(0,G39-E39)</f>
        <v>0</v>
      </c>
      <c r="I39" s="19"/>
    </row>
    <row r="40" customFormat="false" ht="15" hidden="false" customHeight="false" outlineLevel="0" collapsed="false">
      <c r="A40" s="10" t="s">
        <v>36</v>
      </c>
      <c r="B40" s="10" t="s">
        <v>33</v>
      </c>
      <c r="C40" s="10" t="s">
        <v>54</v>
      </c>
      <c r="D40" s="10" t="s">
        <v>34</v>
      </c>
      <c r="E40" s="13" t="n">
        <v>0</v>
      </c>
      <c r="F40" s="13" t="s">
        <v>109</v>
      </c>
      <c r="G40" s="14" t="n">
        <f aca="false">4*H2</f>
        <v>0</v>
      </c>
      <c r="H40" s="14" t="n">
        <f aca="false">MAX(0,G40-E40)</f>
        <v>0</v>
      </c>
      <c r="I40" s="19"/>
    </row>
    <row r="41" customFormat="false" ht="15" hidden="false" customHeight="false" outlineLevel="0" collapsed="false">
      <c r="A41" s="8" t="s">
        <v>63</v>
      </c>
      <c r="B41" s="8" t="s">
        <v>23</v>
      </c>
      <c r="C41" s="8" t="s">
        <v>64</v>
      </c>
      <c r="D41" s="8" t="s">
        <v>17</v>
      </c>
      <c r="E41" s="13" t="n">
        <v>0</v>
      </c>
      <c r="F41" s="13" t="s">
        <v>109</v>
      </c>
      <c r="G41" s="14" t="n">
        <v>0</v>
      </c>
      <c r="H41" s="14" t="n">
        <f aca="false">MAX(0,G41-E41)</f>
        <v>0</v>
      </c>
      <c r="I41" s="19"/>
    </row>
    <row r="42" customFormat="false" ht="15" hidden="false" customHeight="false" outlineLevel="0" collapsed="false">
      <c r="A42" s="8" t="s">
        <v>25</v>
      </c>
      <c r="B42" s="8" t="s">
        <v>23</v>
      </c>
      <c r="C42" s="8" t="s">
        <v>64</v>
      </c>
      <c r="D42" s="8" t="s">
        <v>17</v>
      </c>
      <c r="E42" s="13" t="n">
        <v>0</v>
      </c>
      <c r="F42" s="13" t="s">
        <v>109</v>
      </c>
      <c r="G42" s="14" t="n">
        <v>0</v>
      </c>
      <c r="H42" s="14" t="n">
        <f aca="false">MAX(0,G42-E42)</f>
        <v>0</v>
      </c>
      <c r="I42" s="19"/>
    </row>
    <row r="43" customFormat="false" ht="15" hidden="false" customHeight="false" outlineLevel="0" collapsed="false">
      <c r="A43" s="8" t="s">
        <v>26</v>
      </c>
      <c r="B43" s="8" t="s">
        <v>23</v>
      </c>
      <c r="C43" s="8" t="s">
        <v>64</v>
      </c>
      <c r="D43" s="8" t="s">
        <v>17</v>
      </c>
      <c r="E43" s="13" t="n">
        <v>0</v>
      </c>
      <c r="F43" s="13" t="s">
        <v>109</v>
      </c>
      <c r="G43" s="14" t="n">
        <v>0</v>
      </c>
      <c r="H43" s="14" t="n">
        <f aca="false">MAX(0,G43-E43)</f>
        <v>0</v>
      </c>
      <c r="I43" s="19"/>
    </row>
    <row r="44" customFormat="false" ht="15" hidden="false" customHeight="false" outlineLevel="0" collapsed="false">
      <c r="A44" s="8" t="s">
        <v>28</v>
      </c>
      <c r="B44" s="8" t="s">
        <v>23</v>
      </c>
      <c r="C44" s="8" t="s">
        <v>64</v>
      </c>
      <c r="D44" s="8" t="s">
        <v>17</v>
      </c>
      <c r="E44" s="13" t="n">
        <v>0</v>
      </c>
      <c r="F44" s="13" t="s">
        <v>109</v>
      </c>
      <c r="G44" s="14" t="n">
        <v>0</v>
      </c>
      <c r="H44" s="14" t="n">
        <f aca="false">MAX(0,G44-E44)</f>
        <v>0</v>
      </c>
      <c r="I44" s="19"/>
    </row>
    <row r="45" customFormat="false" ht="15" hidden="false" customHeight="false" outlineLevel="0" collapsed="false">
      <c r="A45" s="8" t="s">
        <v>29</v>
      </c>
      <c r="B45" s="8" t="s">
        <v>23</v>
      </c>
      <c r="C45" s="8" t="s">
        <v>64</v>
      </c>
      <c r="D45" s="8" t="s">
        <v>30</v>
      </c>
      <c r="E45" s="13" t="n">
        <v>0</v>
      </c>
      <c r="F45" s="13" t="s">
        <v>109</v>
      </c>
      <c r="G45" s="14" t="n">
        <v>0</v>
      </c>
      <c r="H45" s="14" t="n">
        <f aca="false">MAX(0,G45-E45)</f>
        <v>0</v>
      </c>
      <c r="I45" s="19"/>
    </row>
    <row r="46" customFormat="false" ht="15" hidden="false" customHeight="false" outlineLevel="0" collapsed="false">
      <c r="A46" s="10" t="s">
        <v>32</v>
      </c>
      <c r="B46" s="10" t="s">
        <v>33</v>
      </c>
      <c r="C46" s="10" t="s">
        <v>64</v>
      </c>
      <c r="D46" s="10" t="s">
        <v>34</v>
      </c>
      <c r="E46" s="13" t="n">
        <v>0</v>
      </c>
      <c r="F46" s="13" t="s">
        <v>109</v>
      </c>
      <c r="G46" s="14" t="n">
        <f aca="false">4*H2</f>
        <v>0</v>
      </c>
      <c r="H46" s="14" t="n">
        <f aca="false">MAX(0,G46-E46)</f>
        <v>0</v>
      </c>
      <c r="I46" s="19"/>
    </row>
    <row r="47" customFormat="false" ht="15" hidden="false" customHeight="false" outlineLevel="0" collapsed="false">
      <c r="A47" s="10" t="s">
        <v>36</v>
      </c>
      <c r="B47" s="10" t="s">
        <v>33</v>
      </c>
      <c r="C47" s="10" t="s">
        <v>64</v>
      </c>
      <c r="D47" s="10" t="s">
        <v>34</v>
      </c>
      <c r="E47" s="13" t="n">
        <v>0</v>
      </c>
      <c r="F47" s="13" t="s">
        <v>109</v>
      </c>
      <c r="G47" s="14" t="n">
        <f aca="false">6*H2</f>
        <v>0</v>
      </c>
      <c r="H47" s="14" t="n">
        <f aca="false">MAX(0,G47-E47)</f>
        <v>0</v>
      </c>
      <c r="I47" s="19"/>
    </row>
    <row r="48" customFormat="false" ht="15" hidden="false" customHeight="false" outlineLevel="0" collapsed="false">
      <c r="A48" s="10" t="s">
        <v>38</v>
      </c>
      <c r="B48" s="10" t="s">
        <v>33</v>
      </c>
      <c r="C48" s="10" t="s">
        <v>64</v>
      </c>
      <c r="D48" s="10" t="s">
        <v>34</v>
      </c>
      <c r="E48" s="13" t="n">
        <v>0</v>
      </c>
      <c r="F48" s="13" t="s">
        <v>109</v>
      </c>
      <c r="G48" s="14" t="n">
        <f aca="false">1*H2</f>
        <v>0</v>
      </c>
      <c r="H48" s="14" t="n">
        <f aca="false">MAX(0,G48-E48)</f>
        <v>0</v>
      </c>
      <c r="I48" s="19"/>
    </row>
    <row r="49" customFormat="false" ht="15" hidden="false" customHeight="false" outlineLevel="0" collapsed="false">
      <c r="A49" s="10" t="s">
        <v>40</v>
      </c>
      <c r="B49" s="10" t="s">
        <v>33</v>
      </c>
      <c r="C49" s="10" t="s">
        <v>64</v>
      </c>
      <c r="D49" s="10" t="s">
        <v>34</v>
      </c>
      <c r="E49" s="13" t="n">
        <v>0</v>
      </c>
      <c r="F49" s="13" t="s">
        <v>109</v>
      </c>
      <c r="G49" s="14" t="n">
        <f aca="false">2*H2</f>
        <v>0</v>
      </c>
      <c r="H49" s="14" t="n">
        <f aca="false">MAX(0,G49-E49)</f>
        <v>0</v>
      </c>
      <c r="I49" s="19"/>
    </row>
    <row r="50" customFormat="false" ht="15" hidden="false" customHeight="false" outlineLevel="0" collapsed="false">
      <c r="A50" s="10" t="s">
        <v>42</v>
      </c>
      <c r="B50" s="10" t="s">
        <v>33</v>
      </c>
      <c r="C50" s="10" t="s">
        <v>64</v>
      </c>
      <c r="D50" s="10" t="s">
        <v>34</v>
      </c>
      <c r="E50" s="13" t="n">
        <v>0</v>
      </c>
      <c r="F50" s="13" t="s">
        <v>109</v>
      </c>
      <c r="G50" s="14" t="n">
        <f aca="false">2*H2</f>
        <v>0</v>
      </c>
      <c r="H50" s="14" t="n">
        <f aca="false">MAX(0,G50-E50)</f>
        <v>0</v>
      </c>
      <c r="I50" s="19"/>
    </row>
    <row r="51" customFormat="false" ht="15" hidden="false" customHeight="false" outlineLevel="0" collapsed="false">
      <c r="A51" s="10" t="s">
        <v>43</v>
      </c>
      <c r="B51" s="10" t="s">
        <v>33</v>
      </c>
      <c r="C51" s="10" t="s">
        <v>64</v>
      </c>
      <c r="D51" s="10" t="s">
        <v>34</v>
      </c>
      <c r="E51" s="13" t="n">
        <v>0</v>
      </c>
      <c r="F51" s="13" t="s">
        <v>109</v>
      </c>
      <c r="G51" s="14" t="n">
        <f aca="false">2*H2</f>
        <v>0</v>
      </c>
      <c r="H51" s="14" t="n">
        <f aca="false">MAX(0,G51-E51)</f>
        <v>0</v>
      </c>
      <c r="I51" s="19"/>
    </row>
    <row r="52" customFormat="false" ht="15" hidden="false" customHeight="false" outlineLevel="0" collapsed="false">
      <c r="A52" s="8" t="s">
        <v>65</v>
      </c>
      <c r="B52" s="8" t="s">
        <v>23</v>
      </c>
      <c r="C52" s="8" t="s">
        <v>66</v>
      </c>
      <c r="D52" s="8" t="s">
        <v>17</v>
      </c>
      <c r="E52" s="13" t="n">
        <v>0</v>
      </c>
      <c r="F52" s="13" t="s">
        <v>109</v>
      </c>
      <c r="G52" s="14" t="n">
        <v>0</v>
      </c>
      <c r="H52" s="14" t="n">
        <f aca="false">MAX(0,G52-E52)</f>
        <v>0</v>
      </c>
      <c r="I52" s="19"/>
    </row>
    <row r="53" customFormat="false" ht="15" hidden="false" customHeight="false" outlineLevel="0" collapsed="false">
      <c r="A53" s="10" t="s">
        <v>32</v>
      </c>
      <c r="B53" s="10" t="s">
        <v>33</v>
      </c>
      <c r="C53" s="10" t="s">
        <v>66</v>
      </c>
      <c r="D53" s="10" t="s">
        <v>34</v>
      </c>
      <c r="E53" s="13" t="n">
        <v>0</v>
      </c>
      <c r="F53" s="13" t="s">
        <v>109</v>
      </c>
      <c r="G53" s="14" t="n">
        <f aca="false">4*H2</f>
        <v>0</v>
      </c>
      <c r="H53" s="14" t="n">
        <f aca="false">MAX(0,G53-E53)</f>
        <v>0</v>
      </c>
      <c r="I53" s="19"/>
    </row>
    <row r="54" customFormat="false" ht="15" hidden="false" customHeight="false" outlineLevel="0" collapsed="false">
      <c r="A54" s="10" t="s">
        <v>36</v>
      </c>
      <c r="B54" s="10" t="s">
        <v>33</v>
      </c>
      <c r="C54" s="10" t="s">
        <v>66</v>
      </c>
      <c r="D54" s="10" t="s">
        <v>34</v>
      </c>
      <c r="E54" s="13" t="n">
        <v>0</v>
      </c>
      <c r="F54" s="13" t="s">
        <v>109</v>
      </c>
      <c r="G54" s="14" t="n">
        <f aca="false">6*H2</f>
        <v>0</v>
      </c>
      <c r="H54" s="14" t="n">
        <f aca="false">MAX(0,G54-E54)</f>
        <v>0</v>
      </c>
      <c r="I54" s="19"/>
    </row>
    <row r="55" customFormat="false" ht="15" hidden="false" customHeight="false" outlineLevel="0" collapsed="false">
      <c r="A55" s="10" t="s">
        <v>38</v>
      </c>
      <c r="B55" s="10" t="s">
        <v>33</v>
      </c>
      <c r="C55" s="10" t="s">
        <v>66</v>
      </c>
      <c r="D55" s="10" t="s">
        <v>34</v>
      </c>
      <c r="E55" s="13" t="n">
        <v>0</v>
      </c>
      <c r="F55" s="13" t="s">
        <v>109</v>
      </c>
      <c r="G55" s="14" t="n">
        <f aca="false">1*H2</f>
        <v>0</v>
      </c>
      <c r="H55" s="14" t="n">
        <f aca="false">MAX(0,G55-E55)</f>
        <v>0</v>
      </c>
      <c r="I55" s="19"/>
    </row>
    <row r="56" customFormat="false" ht="15" hidden="false" customHeight="false" outlineLevel="0" collapsed="false">
      <c r="A56" s="8" t="s">
        <v>67</v>
      </c>
      <c r="B56" s="8" t="s">
        <v>23</v>
      </c>
      <c r="C56" s="8" t="s">
        <v>68</v>
      </c>
      <c r="D56" s="8" t="s">
        <v>17</v>
      </c>
      <c r="E56" s="13" t="n">
        <v>0</v>
      </c>
      <c r="F56" s="13" t="s">
        <v>109</v>
      </c>
      <c r="G56" s="14" t="n">
        <v>0</v>
      </c>
      <c r="H56" s="14" t="n">
        <f aca="false">MAX(0,G56-E56)</f>
        <v>0</v>
      </c>
      <c r="I56" s="19"/>
    </row>
    <row r="57" customFormat="false" ht="15" hidden="false" customHeight="false" outlineLevel="0" collapsed="false">
      <c r="A57" s="8" t="s">
        <v>27</v>
      </c>
      <c r="B57" s="8" t="s">
        <v>23</v>
      </c>
      <c r="C57" s="8" t="s">
        <v>68</v>
      </c>
      <c r="D57" s="8" t="s">
        <v>17</v>
      </c>
      <c r="E57" s="13" t="n">
        <v>0</v>
      </c>
      <c r="F57" s="13" t="s">
        <v>109</v>
      </c>
      <c r="G57" s="14" t="n">
        <v>0</v>
      </c>
      <c r="H57" s="14" t="n">
        <f aca="false">MAX(0,G57-E57)</f>
        <v>0</v>
      </c>
      <c r="I57" s="19"/>
    </row>
    <row r="58" customFormat="false" ht="15" hidden="false" customHeight="false" outlineLevel="0" collapsed="false">
      <c r="A58" s="8" t="s">
        <v>69</v>
      </c>
      <c r="B58" s="8" t="s">
        <v>23</v>
      </c>
      <c r="C58" s="8" t="s">
        <v>68</v>
      </c>
      <c r="D58" s="8" t="s">
        <v>17</v>
      </c>
      <c r="E58" s="13" t="n">
        <v>0</v>
      </c>
      <c r="F58" s="13" t="s">
        <v>109</v>
      </c>
      <c r="G58" s="14" t="n">
        <v>0</v>
      </c>
      <c r="H58" s="14" t="n">
        <f aca="false">MAX(0,G58-E58)</f>
        <v>0</v>
      </c>
      <c r="I58" s="19"/>
    </row>
    <row r="59" customFormat="false" ht="15" hidden="false" customHeight="false" outlineLevel="0" collapsed="false">
      <c r="A59" s="10" t="s">
        <v>32</v>
      </c>
      <c r="B59" s="10" t="s">
        <v>33</v>
      </c>
      <c r="C59" s="10" t="s">
        <v>68</v>
      </c>
      <c r="D59" s="10" t="s">
        <v>34</v>
      </c>
      <c r="E59" s="13" t="n">
        <v>0</v>
      </c>
      <c r="F59" s="13" t="s">
        <v>109</v>
      </c>
      <c r="G59" s="14" t="n">
        <f aca="false">4*H2</f>
        <v>0</v>
      </c>
      <c r="H59" s="14" t="n">
        <f aca="false">MAX(0,G59-E59)</f>
        <v>0</v>
      </c>
      <c r="I59" s="19"/>
    </row>
    <row r="60" customFormat="false" ht="15" hidden="false" customHeight="false" outlineLevel="0" collapsed="false">
      <c r="A60" s="10" t="s">
        <v>36</v>
      </c>
      <c r="B60" s="10" t="s">
        <v>33</v>
      </c>
      <c r="C60" s="10" t="s">
        <v>68</v>
      </c>
      <c r="D60" s="10" t="s">
        <v>34</v>
      </c>
      <c r="E60" s="13" t="n">
        <v>0</v>
      </c>
      <c r="F60" s="13" t="s">
        <v>109</v>
      </c>
      <c r="G60" s="14" t="n">
        <f aca="false">6*H2</f>
        <v>0</v>
      </c>
      <c r="H60" s="14" t="n">
        <f aca="false">MAX(0,G60-E60)</f>
        <v>0</v>
      </c>
      <c r="I60" s="19"/>
    </row>
    <row r="61" customFormat="false" ht="15" hidden="false" customHeight="false" outlineLevel="0" collapsed="false">
      <c r="A61" s="10" t="s">
        <v>70</v>
      </c>
      <c r="B61" s="10" t="s">
        <v>33</v>
      </c>
      <c r="C61" s="10" t="s">
        <v>68</v>
      </c>
      <c r="D61" s="10" t="s">
        <v>34</v>
      </c>
      <c r="E61" s="13" t="n">
        <v>0</v>
      </c>
      <c r="F61" s="13" t="s">
        <v>109</v>
      </c>
      <c r="G61" s="14" t="n">
        <f aca="false">2*H2</f>
        <v>0</v>
      </c>
      <c r="H61" s="14" t="n">
        <f aca="false">MAX(0,G61-E61)</f>
        <v>0</v>
      </c>
      <c r="I61" s="19"/>
    </row>
    <row r="62" customFormat="false" ht="15" hidden="false" customHeight="false" outlineLevel="0" collapsed="false">
      <c r="A62" s="10" t="s">
        <v>71</v>
      </c>
      <c r="B62" s="10" t="s">
        <v>33</v>
      </c>
      <c r="C62" s="10" t="s">
        <v>68</v>
      </c>
      <c r="D62" s="10" t="s">
        <v>34</v>
      </c>
      <c r="E62" s="13" t="n">
        <v>0</v>
      </c>
      <c r="F62" s="13" t="s">
        <v>109</v>
      </c>
      <c r="G62" s="14" t="n">
        <f aca="false">2*H2</f>
        <v>0</v>
      </c>
      <c r="H62" s="14" t="n">
        <f aca="false">MAX(0,G62-E62)</f>
        <v>0</v>
      </c>
      <c r="I62" s="19"/>
    </row>
    <row r="63" customFormat="false" ht="15" hidden="false" customHeight="false" outlineLevel="0" collapsed="false">
      <c r="A63" s="8" t="s">
        <v>72</v>
      </c>
      <c r="B63" s="8" t="s">
        <v>23</v>
      </c>
      <c r="C63" s="8" t="s">
        <v>73</v>
      </c>
      <c r="D63" s="8" t="s">
        <v>17</v>
      </c>
      <c r="E63" s="13" t="n">
        <v>0</v>
      </c>
      <c r="F63" s="13" t="s">
        <v>109</v>
      </c>
      <c r="G63" s="14" t="n">
        <v>0</v>
      </c>
      <c r="H63" s="14" t="n">
        <f aca="false">MAX(0,G63-E63)</f>
        <v>0</v>
      </c>
      <c r="I63" s="19"/>
    </row>
    <row r="64" customFormat="false" ht="15" hidden="false" customHeight="false" outlineLevel="0" collapsed="false">
      <c r="A64" s="10" t="s">
        <v>32</v>
      </c>
      <c r="B64" s="10" t="s">
        <v>33</v>
      </c>
      <c r="C64" s="10" t="s">
        <v>73</v>
      </c>
      <c r="D64" s="10" t="s">
        <v>34</v>
      </c>
      <c r="E64" s="13" t="n">
        <v>0</v>
      </c>
      <c r="F64" s="13" t="s">
        <v>109</v>
      </c>
      <c r="G64" s="14" t="n">
        <f aca="false">4*H2</f>
        <v>0</v>
      </c>
      <c r="H64" s="14" t="n">
        <f aca="false">MAX(0,G64-E64)</f>
        <v>0</v>
      </c>
      <c r="I64" s="19"/>
    </row>
    <row r="65" customFormat="false" ht="15" hidden="false" customHeight="false" outlineLevel="0" collapsed="false">
      <c r="A65" s="10" t="s">
        <v>36</v>
      </c>
      <c r="B65" s="10" t="s">
        <v>33</v>
      </c>
      <c r="C65" s="10" t="s">
        <v>73</v>
      </c>
      <c r="D65" s="10" t="s">
        <v>34</v>
      </c>
      <c r="E65" s="13" t="n">
        <v>0</v>
      </c>
      <c r="F65" s="13" t="s">
        <v>109</v>
      </c>
      <c r="G65" s="14" t="n">
        <f aca="false">6*H2</f>
        <v>0</v>
      </c>
      <c r="H65" s="14" t="n">
        <f aca="false">MAX(0,G65-E65)</f>
        <v>0</v>
      </c>
      <c r="I65" s="19"/>
    </row>
    <row r="66" customFormat="false" ht="15" hidden="false" customHeight="false" outlineLevel="0" collapsed="false">
      <c r="A66" s="10" t="s">
        <v>38</v>
      </c>
      <c r="B66" s="10" t="s">
        <v>33</v>
      </c>
      <c r="C66" s="10" t="s">
        <v>73</v>
      </c>
      <c r="D66" s="10" t="s">
        <v>34</v>
      </c>
      <c r="E66" s="13" t="n">
        <v>0</v>
      </c>
      <c r="F66" s="13" t="s">
        <v>109</v>
      </c>
      <c r="G66" s="14" t="n">
        <f aca="false">1*H2</f>
        <v>0</v>
      </c>
      <c r="H66" s="14" t="n">
        <f aca="false">MAX(0,G66-E66)</f>
        <v>0</v>
      </c>
      <c r="I66" s="19"/>
    </row>
    <row r="67" customFormat="false" ht="15" hidden="false" customHeight="false" outlineLevel="0" collapsed="false">
      <c r="A67" s="10" t="s">
        <v>49</v>
      </c>
      <c r="B67" s="10" t="s">
        <v>33</v>
      </c>
      <c r="C67" s="10" t="s">
        <v>73</v>
      </c>
      <c r="D67" s="10" t="s">
        <v>34</v>
      </c>
      <c r="E67" s="13" t="n">
        <v>0</v>
      </c>
      <c r="F67" s="13" t="s">
        <v>109</v>
      </c>
      <c r="G67" s="14" t="n">
        <f aca="false">1*H2</f>
        <v>0</v>
      </c>
      <c r="H67" s="14" t="n">
        <f aca="false">MAX(0,G67-E67)</f>
        <v>0</v>
      </c>
      <c r="I67" s="19"/>
    </row>
    <row r="68" customFormat="false" ht="15" hidden="false" customHeight="false" outlineLevel="0" collapsed="false">
      <c r="A68" s="10" t="s">
        <v>40</v>
      </c>
      <c r="B68" s="10" t="s">
        <v>33</v>
      </c>
      <c r="C68" s="10" t="s">
        <v>73</v>
      </c>
      <c r="D68" s="10" t="s">
        <v>34</v>
      </c>
      <c r="E68" s="13" t="n">
        <v>0</v>
      </c>
      <c r="F68" s="13" t="s">
        <v>109</v>
      </c>
      <c r="G68" s="14" t="n">
        <f aca="false">2*H2</f>
        <v>0</v>
      </c>
      <c r="H68" s="14" t="n">
        <f aca="false">MAX(0,G68-E68)</f>
        <v>0</v>
      </c>
      <c r="I68" s="19"/>
    </row>
    <row r="69" customFormat="false" ht="15" hidden="false" customHeight="false" outlineLevel="0" collapsed="false">
      <c r="A69" s="10" t="s">
        <v>50</v>
      </c>
      <c r="B69" s="10" t="s">
        <v>33</v>
      </c>
      <c r="C69" s="10" t="s">
        <v>73</v>
      </c>
      <c r="D69" s="10" t="s">
        <v>34</v>
      </c>
      <c r="E69" s="13" t="n">
        <v>0</v>
      </c>
      <c r="F69" s="13" t="s">
        <v>109</v>
      </c>
      <c r="G69" s="14" t="n">
        <f aca="false">1*H2</f>
        <v>0</v>
      </c>
      <c r="H69" s="14" t="n">
        <f aca="false">MAX(0,G69-E69)</f>
        <v>0</v>
      </c>
      <c r="I69" s="19"/>
    </row>
    <row r="70" customFormat="false" ht="15" hidden="false" customHeight="false" outlineLevel="0" collapsed="false">
      <c r="A70" s="8" t="s">
        <v>74</v>
      </c>
      <c r="B70" s="8" t="s">
        <v>23</v>
      </c>
      <c r="C70" s="8" t="s">
        <v>75</v>
      </c>
      <c r="D70" s="8" t="s">
        <v>17</v>
      </c>
      <c r="E70" s="13" t="n">
        <v>0</v>
      </c>
      <c r="F70" s="13" t="s">
        <v>109</v>
      </c>
      <c r="G70" s="14" t="n">
        <v>0</v>
      </c>
      <c r="H70" s="14" t="n">
        <f aca="false">MAX(0,G70-E70)</f>
        <v>0</v>
      </c>
      <c r="I70" s="19"/>
    </row>
    <row r="71" customFormat="false" ht="15" hidden="false" customHeight="false" outlineLevel="0" collapsed="false">
      <c r="A71" s="10" t="s">
        <v>76</v>
      </c>
      <c r="B71" s="10" t="s">
        <v>33</v>
      </c>
      <c r="C71" s="10" t="s">
        <v>75</v>
      </c>
      <c r="D71" s="10" t="s">
        <v>34</v>
      </c>
      <c r="E71" s="13" t="n">
        <v>0</v>
      </c>
      <c r="F71" s="13" t="s">
        <v>109</v>
      </c>
      <c r="G71" s="14" t="n">
        <f aca="false">1*H2</f>
        <v>0</v>
      </c>
      <c r="H71" s="14" t="n">
        <f aca="false">MAX(0,G71-E71)</f>
        <v>0</v>
      </c>
      <c r="I71" s="19"/>
    </row>
    <row r="72" customFormat="false" ht="15" hidden="false" customHeight="false" outlineLevel="0" collapsed="false">
      <c r="A72" s="8" t="s">
        <v>78</v>
      </c>
      <c r="B72" s="8" t="s">
        <v>23</v>
      </c>
      <c r="C72" s="8" t="s">
        <v>79</v>
      </c>
      <c r="D72" s="8" t="s">
        <v>17</v>
      </c>
      <c r="E72" s="13" t="n">
        <v>0</v>
      </c>
      <c r="F72" s="13" t="s">
        <v>109</v>
      </c>
      <c r="G72" s="14" t="n">
        <v>0</v>
      </c>
      <c r="H72" s="14" t="n">
        <f aca="false">MAX(0,G72-E72)</f>
        <v>0</v>
      </c>
      <c r="I72" s="19"/>
    </row>
    <row r="73" customFormat="false" ht="15" hidden="false" customHeight="false" outlineLevel="0" collapsed="false">
      <c r="A73" s="8" t="s">
        <v>80</v>
      </c>
      <c r="B73" s="8" t="s">
        <v>23</v>
      </c>
      <c r="C73" s="8" t="s">
        <v>81</v>
      </c>
      <c r="D73" s="8" t="s">
        <v>17</v>
      </c>
      <c r="E73" s="13" t="n">
        <v>0</v>
      </c>
      <c r="F73" s="13" t="s">
        <v>109</v>
      </c>
      <c r="G73" s="14" t="n">
        <v>0</v>
      </c>
      <c r="H73" s="14" t="n">
        <f aca="false">MAX(0,G73-E73)</f>
        <v>0</v>
      </c>
      <c r="I73" s="19"/>
    </row>
    <row r="74" customFormat="false" ht="15" hidden="false" customHeight="false" outlineLevel="0" collapsed="false">
      <c r="A74" s="8" t="s">
        <v>82</v>
      </c>
      <c r="B74" s="8" t="s">
        <v>23</v>
      </c>
      <c r="C74" s="8" t="s">
        <v>81</v>
      </c>
      <c r="D74" s="8" t="s">
        <v>17</v>
      </c>
      <c r="E74" s="13" t="n">
        <v>0</v>
      </c>
      <c r="F74" s="13" t="s">
        <v>109</v>
      </c>
      <c r="G74" s="14" t="n">
        <v>0</v>
      </c>
      <c r="H74" s="14" t="n">
        <f aca="false">MAX(0,G74-E74)</f>
        <v>0</v>
      </c>
      <c r="I74" s="19"/>
    </row>
    <row r="75" customFormat="false" ht="15" hidden="false" customHeight="false" outlineLevel="0" collapsed="false">
      <c r="A75" s="8" t="s">
        <v>83</v>
      </c>
      <c r="B75" s="8" t="s">
        <v>23</v>
      </c>
      <c r="C75" s="8" t="s">
        <v>81</v>
      </c>
      <c r="D75" s="8" t="s">
        <v>30</v>
      </c>
      <c r="E75" s="13" t="n">
        <v>0</v>
      </c>
      <c r="F75" s="13" t="s">
        <v>109</v>
      </c>
      <c r="G75" s="14" t="n">
        <v>0</v>
      </c>
      <c r="H75" s="14" t="n">
        <f aca="false">MAX(0,G75-E75)</f>
        <v>0</v>
      </c>
      <c r="I75" s="19"/>
    </row>
    <row r="76" customFormat="false" ht="15" hidden="false" customHeight="false" outlineLevel="0" collapsed="false">
      <c r="A76" s="10" t="s">
        <v>36</v>
      </c>
      <c r="B76" s="10" t="s">
        <v>33</v>
      </c>
      <c r="C76" s="10" t="s">
        <v>81</v>
      </c>
      <c r="D76" s="10" t="s">
        <v>34</v>
      </c>
      <c r="E76" s="13" t="n">
        <v>0</v>
      </c>
      <c r="F76" s="13" t="s">
        <v>109</v>
      </c>
      <c r="G76" s="14" t="n">
        <f aca="false">4*H2</f>
        <v>0</v>
      </c>
      <c r="H76" s="14" t="n">
        <f aca="false">MAX(0,G76-E76)</f>
        <v>0</v>
      </c>
      <c r="I76" s="19"/>
    </row>
    <row r="77" customFormat="false" ht="15" hidden="false" customHeight="false" outlineLevel="0" collapsed="false">
      <c r="A77" s="10" t="s">
        <v>84</v>
      </c>
      <c r="B77" s="10" t="s">
        <v>33</v>
      </c>
      <c r="C77" s="10" t="s">
        <v>81</v>
      </c>
      <c r="D77" s="10" t="s">
        <v>34</v>
      </c>
      <c r="E77" s="13" t="n">
        <v>0</v>
      </c>
      <c r="F77" s="13" t="s">
        <v>109</v>
      </c>
      <c r="G77" s="14" t="n">
        <f aca="false">2*H2</f>
        <v>0</v>
      </c>
      <c r="H77" s="14" t="n">
        <f aca="false">MAX(0,G77-E77)</f>
        <v>0</v>
      </c>
      <c r="I77" s="19"/>
    </row>
    <row r="78" customFormat="false" ht="15" hidden="false" customHeight="false" outlineLevel="0" collapsed="false">
      <c r="A78" s="12" t="s">
        <v>85</v>
      </c>
      <c r="B78" s="12" t="s">
        <v>86</v>
      </c>
      <c r="C78" s="12" t="s">
        <v>16</v>
      </c>
      <c r="D78" s="12" t="s">
        <v>17</v>
      </c>
      <c r="E78" s="13" t="n">
        <v>0</v>
      </c>
      <c r="F78" s="13" t="s">
        <v>109</v>
      </c>
      <c r="G78" s="14" t="n">
        <v>0</v>
      </c>
      <c r="H78" s="14" t="n">
        <f aca="false">MAX(0,G78-E78)</f>
        <v>0</v>
      </c>
      <c r="I78" s="19"/>
    </row>
    <row r="79" customFormat="false" ht="15" hidden="false" customHeight="false" outlineLevel="0" collapsed="false">
      <c r="A79" s="12" t="s">
        <v>88</v>
      </c>
      <c r="B79" s="12" t="s">
        <v>86</v>
      </c>
      <c r="C79" s="12" t="s">
        <v>16</v>
      </c>
      <c r="D79" s="12" t="s">
        <v>17</v>
      </c>
      <c r="E79" s="13" t="n">
        <v>0</v>
      </c>
      <c r="F79" s="13" t="s">
        <v>109</v>
      </c>
      <c r="G79" s="14" t="n">
        <v>0</v>
      </c>
      <c r="H79" s="14" t="n">
        <f aca="false">MAX(0,G79-E79)</f>
        <v>0</v>
      </c>
      <c r="I79" s="19"/>
    </row>
    <row r="80" customFormat="false" ht="15" hidden="false" customHeight="false" outlineLevel="0" collapsed="false">
      <c r="A80" s="12" t="s">
        <v>90</v>
      </c>
      <c r="B80" s="12" t="s">
        <v>86</v>
      </c>
      <c r="C80" s="12" t="s">
        <v>16</v>
      </c>
      <c r="D80" s="12" t="s">
        <v>17</v>
      </c>
      <c r="E80" s="13" t="n">
        <v>0</v>
      </c>
      <c r="F80" s="13" t="s">
        <v>109</v>
      </c>
      <c r="G80" s="14" t="n">
        <v>0</v>
      </c>
      <c r="H80" s="14" t="n">
        <f aca="false">MAX(0,G80-E80)</f>
        <v>0</v>
      </c>
      <c r="I80" s="19"/>
    </row>
    <row r="81" customFormat="false" ht="15" hidden="false" customHeight="false" outlineLevel="0" collapsed="false">
      <c r="A81" s="12" t="s">
        <v>92</v>
      </c>
      <c r="B81" s="12" t="s">
        <v>86</v>
      </c>
      <c r="C81" s="12" t="s">
        <v>16</v>
      </c>
      <c r="D81" s="12" t="s">
        <v>17</v>
      </c>
      <c r="E81" s="13" t="n">
        <v>0</v>
      </c>
      <c r="F81" s="13" t="s">
        <v>109</v>
      </c>
      <c r="G81" s="14" t="n">
        <v>0</v>
      </c>
      <c r="H81" s="14" t="n">
        <f aca="false">MAX(0,G81-E81)</f>
        <v>0</v>
      </c>
      <c r="I81" s="19"/>
    </row>
  </sheetData>
  <autoFilter ref="A4:I81"/>
  <mergeCells count="7">
    <mergeCell ref="A1:I1"/>
    <mergeCell ref="A2:C2"/>
    <mergeCell ref="D2:F2"/>
    <mergeCell ref="G2:I2"/>
    <mergeCell ref="A3:C3"/>
    <mergeCell ref="D3:F3"/>
    <mergeCell ref="G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O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11" min="6" style="0" width="12"/>
    <col collapsed="false" customWidth="true" hidden="false" outlineLevel="0" max="13" min="12" style="0" width="13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6" hidden="false" customHeight="true" outlineLevel="0" collapsed="false">
      <c r="A3" s="3" t="s">
        <v>3</v>
      </c>
      <c r="B3" s="3" t="s">
        <v>4</v>
      </c>
      <c r="C3" s="3" t="s">
        <v>5</v>
      </c>
      <c r="D3" s="3" t="s">
        <v>6</v>
      </c>
      <c r="E3" s="3" t="s">
        <v>8</v>
      </c>
      <c r="F3" s="20" t="s">
        <v>112</v>
      </c>
      <c r="G3" s="20" t="s">
        <v>113</v>
      </c>
      <c r="H3" s="20" t="s">
        <v>114</v>
      </c>
      <c r="I3" s="20" t="s">
        <v>115</v>
      </c>
      <c r="J3" s="20" t="s">
        <v>116</v>
      </c>
      <c r="K3" s="20" t="s">
        <v>117</v>
      </c>
      <c r="L3" s="20" t="s">
        <v>118</v>
      </c>
      <c r="M3" s="20" t="s">
        <v>119</v>
      </c>
      <c r="N3" s="20" t="s">
        <v>107</v>
      </c>
    </row>
    <row r="4" customFormat="false" ht="15.75" hidden="false" customHeight="true" outlineLevel="0" collapsed="false">
      <c r="A4" s="21" t="s">
        <v>120</v>
      </c>
      <c r="B4" s="21"/>
      <c r="C4" s="21"/>
      <c r="D4" s="21"/>
      <c r="E4" s="21"/>
    </row>
    <row r="5" customFormat="false" ht="15" hidden="false" customHeight="false" outlineLevel="0" collapsed="false">
      <c r="A5" s="5" t="s">
        <v>14</v>
      </c>
      <c r="B5" s="5" t="s">
        <v>15</v>
      </c>
      <c r="C5" s="5" t="s">
        <v>16</v>
      </c>
      <c r="D5" s="5" t="s">
        <v>17</v>
      </c>
      <c r="E5" s="4" t="n">
        <v>1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22" t="n">
        <f aca="false">E5*SUM(F5:K5)</f>
        <v>0</v>
      </c>
      <c r="M5" s="14" t="n">
        <f aca="false">'Mumbai Stock'!F4</f>
        <v>0</v>
      </c>
      <c r="N5" s="14" t="n">
        <f aca="false">MAX(0,L5-M5)</f>
        <v>0</v>
      </c>
    </row>
    <row r="6" customFormat="false" ht="15" hidden="false" customHeight="false" outlineLevel="0" collapsed="false">
      <c r="A6" s="5" t="s">
        <v>19</v>
      </c>
      <c r="B6" s="5" t="s">
        <v>15</v>
      </c>
      <c r="C6" s="5" t="s">
        <v>16</v>
      </c>
      <c r="D6" s="5" t="s">
        <v>17</v>
      </c>
      <c r="E6" s="4" t="n">
        <v>1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22" t="n">
        <f aca="false">E6*SUM(F6:K6)</f>
        <v>0</v>
      </c>
      <c r="M6" s="14" t="n">
        <f aca="false">'Mumbai Stock'!F5</f>
        <v>0</v>
      </c>
      <c r="N6" s="14" t="n">
        <f aca="false">MAX(0,L6-M6)</f>
        <v>0</v>
      </c>
    </row>
    <row r="7" customFormat="false" ht="15" hidden="false" customHeight="false" outlineLevel="0" collapsed="false">
      <c r="A7" s="5" t="s">
        <v>21</v>
      </c>
      <c r="B7" s="5" t="s">
        <v>15</v>
      </c>
      <c r="C7" s="5" t="s">
        <v>16</v>
      </c>
      <c r="D7" s="5" t="s">
        <v>17</v>
      </c>
      <c r="E7" s="4" t="n">
        <v>2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22" t="n">
        <f aca="false">E7*SUM(F7:K7)</f>
        <v>0</v>
      </c>
      <c r="M7" s="14" t="n">
        <f aca="false">'Mumbai Stock'!F6</f>
        <v>0</v>
      </c>
      <c r="N7" s="14" t="n">
        <f aca="false">MAX(0,L7-M7)</f>
        <v>0</v>
      </c>
    </row>
    <row r="8" customFormat="false" ht="15" hidden="false" customHeight="false" outlineLevel="0" collapsed="false">
      <c r="A8" s="8" t="s">
        <v>22</v>
      </c>
      <c r="B8" s="8" t="s">
        <v>23</v>
      </c>
      <c r="C8" s="8" t="s">
        <v>24</v>
      </c>
      <c r="D8" s="8" t="s">
        <v>17</v>
      </c>
      <c r="E8" s="7" t="n">
        <v>1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22" t="n">
        <f aca="false">E8*SUM(F8:K8)</f>
        <v>0</v>
      </c>
      <c r="M8" s="14" t="n">
        <f aca="false">'Mumbai Stock'!F7</f>
        <v>0</v>
      </c>
      <c r="N8" s="14" t="n">
        <f aca="false">MAX(0,L8-M8)</f>
        <v>0</v>
      </c>
    </row>
    <row r="9" customFormat="false" ht="15" hidden="false" customHeight="false" outlineLevel="0" collapsed="false">
      <c r="A9" s="8" t="s">
        <v>25</v>
      </c>
      <c r="B9" s="8" t="s">
        <v>23</v>
      </c>
      <c r="C9" s="8" t="s">
        <v>24</v>
      </c>
      <c r="D9" s="8" t="s">
        <v>17</v>
      </c>
      <c r="E9" s="7" t="n">
        <v>2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22" t="n">
        <f aca="false">E9*SUM(F9:K9)</f>
        <v>0</v>
      </c>
      <c r="M9" s="14" t="n">
        <f aca="false">'Mumbai Stock'!F8</f>
        <v>0</v>
      </c>
      <c r="N9" s="14" t="n">
        <f aca="false">MAX(0,L9-M9)</f>
        <v>0</v>
      </c>
    </row>
    <row r="10" customFormat="false" ht="15" hidden="false" customHeight="false" outlineLevel="0" collapsed="false">
      <c r="A10" s="8" t="s">
        <v>26</v>
      </c>
      <c r="B10" s="8" t="s">
        <v>23</v>
      </c>
      <c r="C10" s="8" t="s">
        <v>24</v>
      </c>
      <c r="D10" s="8" t="s">
        <v>17</v>
      </c>
      <c r="E10" s="7" t="n">
        <v>2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22" t="n">
        <f aca="false">E10*SUM(F10:K10)</f>
        <v>0</v>
      </c>
      <c r="M10" s="14" t="n">
        <f aca="false">'Mumbai Stock'!F9</f>
        <v>0</v>
      </c>
      <c r="N10" s="14" t="n">
        <f aca="false">MAX(0,L10-M10)</f>
        <v>0</v>
      </c>
    </row>
    <row r="11" customFormat="false" ht="15" hidden="false" customHeight="false" outlineLevel="0" collapsed="false">
      <c r="A11" s="8" t="s">
        <v>27</v>
      </c>
      <c r="B11" s="8" t="s">
        <v>23</v>
      </c>
      <c r="C11" s="8" t="s">
        <v>24</v>
      </c>
      <c r="D11" s="8" t="s">
        <v>17</v>
      </c>
      <c r="E11" s="7" t="n">
        <v>1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22" t="n">
        <f aca="false">E11*SUM(F11:K11)</f>
        <v>0</v>
      </c>
      <c r="M11" s="14" t="n">
        <f aca="false">'Mumbai Stock'!F10</f>
        <v>0</v>
      </c>
      <c r="N11" s="14" t="n">
        <f aca="false">MAX(0,L11-M11)</f>
        <v>0</v>
      </c>
    </row>
    <row r="12" customFormat="false" ht="15" hidden="false" customHeight="false" outlineLevel="0" collapsed="false">
      <c r="A12" s="8" t="s">
        <v>28</v>
      </c>
      <c r="B12" s="8" t="s">
        <v>23</v>
      </c>
      <c r="C12" s="8" t="s">
        <v>24</v>
      </c>
      <c r="D12" s="8" t="s">
        <v>17</v>
      </c>
      <c r="E12" s="7" t="n">
        <v>1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22" t="n">
        <f aca="false">E12*SUM(F12:K12)</f>
        <v>0</v>
      </c>
      <c r="M12" s="14" t="n">
        <f aca="false">'Mumbai Stock'!F11</f>
        <v>0</v>
      </c>
      <c r="N12" s="14" t="n">
        <f aca="false">MAX(0,L12-M12)</f>
        <v>0</v>
      </c>
    </row>
    <row r="13" customFormat="false" ht="15" hidden="false" customHeight="false" outlineLevel="0" collapsed="false">
      <c r="A13" s="8" t="s">
        <v>29</v>
      </c>
      <c r="B13" s="8" t="s">
        <v>23</v>
      </c>
      <c r="C13" s="8" t="s">
        <v>24</v>
      </c>
      <c r="D13" s="8" t="s">
        <v>30</v>
      </c>
      <c r="E13" s="7" t="n">
        <v>1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22" t="n">
        <f aca="false">E13*SUM(F13:K13)</f>
        <v>0</v>
      </c>
      <c r="M13" s="14" t="n">
        <f aca="false">'Mumbai Stock'!F12</f>
        <v>0</v>
      </c>
      <c r="N13" s="14" t="n">
        <f aca="false">MAX(0,L13-M13)</f>
        <v>0</v>
      </c>
    </row>
    <row r="14" customFormat="false" ht="15" hidden="false" customHeight="false" outlineLevel="0" collapsed="false">
      <c r="A14" s="10" t="s">
        <v>32</v>
      </c>
      <c r="B14" s="10" t="s">
        <v>33</v>
      </c>
      <c r="C14" s="10" t="s">
        <v>24</v>
      </c>
      <c r="D14" s="10" t="s">
        <v>34</v>
      </c>
      <c r="E14" s="9" t="n">
        <v>0</v>
      </c>
      <c r="F14" s="23" t="s">
        <v>121</v>
      </c>
      <c r="G14" s="23" t="s">
        <v>121</v>
      </c>
      <c r="H14" s="23" t="s">
        <v>121</v>
      </c>
      <c r="I14" s="23" t="s">
        <v>121</v>
      </c>
      <c r="J14" s="23" t="s">
        <v>121</v>
      </c>
      <c r="K14" s="23" t="s">
        <v>121</v>
      </c>
      <c r="L14" s="22" t="n">
        <f aca="false">0</f>
        <v>0</v>
      </c>
      <c r="M14" s="14" t="n">
        <f aca="false">'Mumbai Stock'!F13</f>
        <v>0</v>
      </c>
      <c r="N14" s="14" t="n">
        <f aca="false">MAX(0,L14-M14)</f>
        <v>0</v>
      </c>
    </row>
    <row r="15" customFormat="false" ht="15" hidden="false" customHeight="false" outlineLevel="0" collapsed="false">
      <c r="A15" s="10" t="s">
        <v>36</v>
      </c>
      <c r="B15" s="10" t="s">
        <v>33</v>
      </c>
      <c r="C15" s="10" t="s">
        <v>24</v>
      </c>
      <c r="D15" s="10" t="s">
        <v>34</v>
      </c>
      <c r="E15" s="9" t="n">
        <v>0</v>
      </c>
      <c r="F15" s="23" t="s">
        <v>121</v>
      </c>
      <c r="G15" s="23" t="s">
        <v>121</v>
      </c>
      <c r="H15" s="23" t="s">
        <v>121</v>
      </c>
      <c r="I15" s="23" t="s">
        <v>121</v>
      </c>
      <c r="J15" s="23" t="s">
        <v>121</v>
      </c>
      <c r="K15" s="23" t="s">
        <v>121</v>
      </c>
      <c r="L15" s="22" t="n">
        <f aca="false">0</f>
        <v>0</v>
      </c>
      <c r="M15" s="14" t="n">
        <f aca="false">'Mumbai Stock'!F14</f>
        <v>0</v>
      </c>
      <c r="N15" s="14" t="n">
        <f aca="false">MAX(0,L15-M15)</f>
        <v>0</v>
      </c>
    </row>
    <row r="16" customFormat="false" ht="15" hidden="false" customHeight="false" outlineLevel="0" collapsed="false">
      <c r="A16" s="10" t="s">
        <v>38</v>
      </c>
      <c r="B16" s="10" t="s">
        <v>33</v>
      </c>
      <c r="C16" s="10" t="s">
        <v>24</v>
      </c>
      <c r="D16" s="10" t="s">
        <v>34</v>
      </c>
      <c r="E16" s="9" t="n">
        <v>0</v>
      </c>
      <c r="F16" s="23" t="s">
        <v>121</v>
      </c>
      <c r="G16" s="23" t="s">
        <v>121</v>
      </c>
      <c r="H16" s="23" t="s">
        <v>121</v>
      </c>
      <c r="I16" s="23" t="s">
        <v>121</v>
      </c>
      <c r="J16" s="23" t="s">
        <v>121</v>
      </c>
      <c r="K16" s="23" t="s">
        <v>121</v>
      </c>
      <c r="L16" s="22" t="n">
        <f aca="false">0</f>
        <v>0</v>
      </c>
      <c r="M16" s="14" t="n">
        <f aca="false">'Mumbai Stock'!F15</f>
        <v>0</v>
      </c>
      <c r="N16" s="14" t="n">
        <f aca="false">MAX(0,L16-M16)</f>
        <v>0</v>
      </c>
    </row>
    <row r="17" customFormat="false" ht="15" hidden="false" customHeight="false" outlineLevel="0" collapsed="false">
      <c r="A17" s="10" t="s">
        <v>40</v>
      </c>
      <c r="B17" s="10" t="s">
        <v>33</v>
      </c>
      <c r="C17" s="10" t="s">
        <v>24</v>
      </c>
      <c r="D17" s="10" t="s">
        <v>34</v>
      </c>
      <c r="E17" s="9" t="n">
        <v>0</v>
      </c>
      <c r="F17" s="23" t="s">
        <v>121</v>
      </c>
      <c r="G17" s="23" t="s">
        <v>121</v>
      </c>
      <c r="H17" s="23" t="s">
        <v>121</v>
      </c>
      <c r="I17" s="23" t="s">
        <v>121</v>
      </c>
      <c r="J17" s="23" t="s">
        <v>121</v>
      </c>
      <c r="K17" s="23" t="s">
        <v>121</v>
      </c>
      <c r="L17" s="22" t="n">
        <f aca="false">0</f>
        <v>0</v>
      </c>
      <c r="M17" s="14" t="n">
        <f aca="false">'Mumbai Stock'!F16</f>
        <v>0</v>
      </c>
      <c r="N17" s="14" t="n">
        <f aca="false">MAX(0,L17-M17)</f>
        <v>0</v>
      </c>
    </row>
    <row r="18" customFormat="false" ht="15" hidden="false" customHeight="false" outlineLevel="0" collapsed="false">
      <c r="A18" s="10" t="s">
        <v>42</v>
      </c>
      <c r="B18" s="10" t="s">
        <v>33</v>
      </c>
      <c r="C18" s="10" t="s">
        <v>24</v>
      </c>
      <c r="D18" s="10" t="s">
        <v>34</v>
      </c>
      <c r="E18" s="9" t="n">
        <v>0</v>
      </c>
      <c r="F18" s="23" t="s">
        <v>121</v>
      </c>
      <c r="G18" s="23" t="s">
        <v>121</v>
      </c>
      <c r="H18" s="23" t="s">
        <v>121</v>
      </c>
      <c r="I18" s="23" t="s">
        <v>121</v>
      </c>
      <c r="J18" s="23" t="s">
        <v>121</v>
      </c>
      <c r="K18" s="23" t="s">
        <v>121</v>
      </c>
      <c r="L18" s="22" t="n">
        <f aca="false">0</f>
        <v>0</v>
      </c>
      <c r="M18" s="14" t="n">
        <f aca="false">'Mumbai Stock'!F17</f>
        <v>0</v>
      </c>
      <c r="N18" s="14" t="n">
        <f aca="false">MAX(0,L18-M18)</f>
        <v>0</v>
      </c>
    </row>
    <row r="19" customFormat="false" ht="15" hidden="false" customHeight="false" outlineLevel="0" collapsed="false">
      <c r="A19" s="10" t="s">
        <v>43</v>
      </c>
      <c r="B19" s="10" t="s">
        <v>33</v>
      </c>
      <c r="C19" s="10" t="s">
        <v>24</v>
      </c>
      <c r="D19" s="10" t="s">
        <v>34</v>
      </c>
      <c r="E19" s="9" t="n">
        <v>0</v>
      </c>
      <c r="F19" s="23" t="s">
        <v>121</v>
      </c>
      <c r="G19" s="23" t="s">
        <v>121</v>
      </c>
      <c r="H19" s="23" t="s">
        <v>121</v>
      </c>
      <c r="I19" s="23" t="s">
        <v>121</v>
      </c>
      <c r="J19" s="23" t="s">
        <v>121</v>
      </c>
      <c r="K19" s="23" t="s">
        <v>121</v>
      </c>
      <c r="L19" s="22" t="n">
        <f aca="false">0</f>
        <v>0</v>
      </c>
      <c r="M19" s="14" t="n">
        <f aca="false">'Mumbai Stock'!F18</f>
        <v>0</v>
      </c>
      <c r="N19" s="14" t="n">
        <f aca="false">MAX(0,L19-M19)</f>
        <v>0</v>
      </c>
    </row>
    <row r="20" customFormat="false" ht="15" hidden="false" customHeight="false" outlineLevel="0" collapsed="false">
      <c r="A20" s="8" t="s">
        <v>44</v>
      </c>
      <c r="B20" s="8" t="s">
        <v>23</v>
      </c>
      <c r="C20" s="8" t="s">
        <v>45</v>
      </c>
      <c r="D20" s="8" t="s">
        <v>17</v>
      </c>
      <c r="E20" s="7" t="n">
        <v>1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22" t="n">
        <f aca="false">E20*SUM(F20:K20)</f>
        <v>0</v>
      </c>
      <c r="M20" s="14" t="n">
        <f aca="false">'Mumbai Stock'!F19</f>
        <v>0</v>
      </c>
      <c r="N20" s="14" t="n">
        <f aca="false">MAX(0,L20-M20)</f>
        <v>0</v>
      </c>
    </row>
    <row r="21" customFormat="false" ht="15" hidden="false" customHeight="false" outlineLevel="0" collapsed="false">
      <c r="A21" s="8" t="s">
        <v>46</v>
      </c>
      <c r="B21" s="8" t="s">
        <v>23</v>
      </c>
      <c r="C21" s="8" t="s">
        <v>45</v>
      </c>
      <c r="D21" s="8" t="s">
        <v>17</v>
      </c>
      <c r="E21" s="7" t="n">
        <v>2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22" t="n">
        <f aca="false">E21*SUM(F21:K21)</f>
        <v>0</v>
      </c>
      <c r="M21" s="14" t="n">
        <f aca="false">'Mumbai Stock'!F20</f>
        <v>0</v>
      </c>
      <c r="N21" s="14" t="n">
        <f aca="false">MAX(0,L21-M21)</f>
        <v>0</v>
      </c>
    </row>
    <row r="22" customFormat="false" ht="15" hidden="false" customHeight="false" outlineLevel="0" collapsed="false">
      <c r="A22" s="8" t="s">
        <v>47</v>
      </c>
      <c r="B22" s="8" t="s">
        <v>23</v>
      </c>
      <c r="C22" s="8" t="s">
        <v>45</v>
      </c>
      <c r="D22" s="8" t="s">
        <v>17</v>
      </c>
      <c r="E22" s="7" t="n">
        <v>1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22" t="n">
        <f aca="false">E22*SUM(F22:K22)</f>
        <v>0</v>
      </c>
      <c r="M22" s="14" t="n">
        <f aca="false">'Mumbai Stock'!F21</f>
        <v>0</v>
      </c>
      <c r="N22" s="14" t="n">
        <f aca="false">MAX(0,L22-M22)</f>
        <v>0</v>
      </c>
    </row>
    <row r="23" customFormat="false" ht="15" hidden="false" customHeight="false" outlineLevel="0" collapsed="false">
      <c r="A23" s="8" t="s">
        <v>48</v>
      </c>
      <c r="B23" s="8" t="s">
        <v>23</v>
      </c>
      <c r="C23" s="8" t="s">
        <v>45</v>
      </c>
      <c r="D23" s="8" t="s">
        <v>30</v>
      </c>
      <c r="E23" s="7" t="n">
        <v>1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22" t="n">
        <f aca="false">E23*SUM(F23:K23)</f>
        <v>0</v>
      </c>
      <c r="M23" s="14" t="n">
        <f aca="false">'Mumbai Stock'!F22</f>
        <v>0</v>
      </c>
      <c r="N23" s="14" t="n">
        <f aca="false">MAX(0,L23-M23)</f>
        <v>0</v>
      </c>
    </row>
    <row r="24" customFormat="false" ht="15" hidden="false" customHeight="false" outlineLevel="0" collapsed="false">
      <c r="A24" s="10" t="s">
        <v>32</v>
      </c>
      <c r="B24" s="10" t="s">
        <v>33</v>
      </c>
      <c r="C24" s="10" t="s">
        <v>45</v>
      </c>
      <c r="D24" s="10" t="s">
        <v>34</v>
      </c>
      <c r="E24" s="9" t="n">
        <v>0</v>
      </c>
      <c r="F24" s="23" t="s">
        <v>121</v>
      </c>
      <c r="G24" s="23" t="s">
        <v>121</v>
      </c>
      <c r="H24" s="23" t="s">
        <v>121</v>
      </c>
      <c r="I24" s="23" t="s">
        <v>121</v>
      </c>
      <c r="J24" s="23" t="s">
        <v>121</v>
      </c>
      <c r="K24" s="23" t="s">
        <v>121</v>
      </c>
      <c r="L24" s="22" t="n">
        <f aca="false">0</f>
        <v>0</v>
      </c>
      <c r="M24" s="14" t="n">
        <f aca="false">'Mumbai Stock'!F23</f>
        <v>0</v>
      </c>
      <c r="N24" s="14" t="n">
        <f aca="false">MAX(0,L24-M24)</f>
        <v>0</v>
      </c>
    </row>
    <row r="25" customFormat="false" ht="15" hidden="false" customHeight="false" outlineLevel="0" collapsed="false">
      <c r="A25" s="10" t="s">
        <v>36</v>
      </c>
      <c r="B25" s="10" t="s">
        <v>33</v>
      </c>
      <c r="C25" s="10" t="s">
        <v>45</v>
      </c>
      <c r="D25" s="10" t="s">
        <v>34</v>
      </c>
      <c r="E25" s="9" t="n">
        <v>0</v>
      </c>
      <c r="F25" s="23" t="s">
        <v>121</v>
      </c>
      <c r="G25" s="23" t="s">
        <v>121</v>
      </c>
      <c r="H25" s="23" t="s">
        <v>121</v>
      </c>
      <c r="I25" s="23" t="s">
        <v>121</v>
      </c>
      <c r="J25" s="23" t="s">
        <v>121</v>
      </c>
      <c r="K25" s="23" t="s">
        <v>121</v>
      </c>
      <c r="L25" s="22" t="n">
        <f aca="false">0</f>
        <v>0</v>
      </c>
      <c r="M25" s="14" t="n">
        <f aca="false">'Mumbai Stock'!F24</f>
        <v>0</v>
      </c>
      <c r="N25" s="14" t="n">
        <f aca="false">MAX(0,L25-M25)</f>
        <v>0</v>
      </c>
    </row>
    <row r="26" customFormat="false" ht="15" hidden="false" customHeight="false" outlineLevel="0" collapsed="false">
      <c r="A26" s="10" t="s">
        <v>38</v>
      </c>
      <c r="B26" s="10" t="s">
        <v>33</v>
      </c>
      <c r="C26" s="10" t="s">
        <v>45</v>
      </c>
      <c r="D26" s="10" t="s">
        <v>34</v>
      </c>
      <c r="E26" s="9" t="n">
        <v>0</v>
      </c>
      <c r="F26" s="23" t="s">
        <v>121</v>
      </c>
      <c r="G26" s="23" t="s">
        <v>121</v>
      </c>
      <c r="H26" s="23" t="s">
        <v>121</v>
      </c>
      <c r="I26" s="23" t="s">
        <v>121</v>
      </c>
      <c r="J26" s="23" t="s">
        <v>121</v>
      </c>
      <c r="K26" s="23" t="s">
        <v>121</v>
      </c>
      <c r="L26" s="22" t="n">
        <f aca="false">0</f>
        <v>0</v>
      </c>
      <c r="M26" s="14" t="n">
        <f aca="false">'Mumbai Stock'!F25</f>
        <v>0</v>
      </c>
      <c r="N26" s="14" t="n">
        <f aca="false">MAX(0,L26-M26)</f>
        <v>0</v>
      </c>
    </row>
    <row r="27" customFormat="false" ht="15" hidden="false" customHeight="false" outlineLevel="0" collapsed="false">
      <c r="A27" s="10" t="s">
        <v>49</v>
      </c>
      <c r="B27" s="10" t="s">
        <v>33</v>
      </c>
      <c r="C27" s="10" t="s">
        <v>45</v>
      </c>
      <c r="D27" s="10" t="s">
        <v>34</v>
      </c>
      <c r="E27" s="9" t="n">
        <v>0</v>
      </c>
      <c r="F27" s="23" t="s">
        <v>121</v>
      </c>
      <c r="G27" s="23" t="s">
        <v>121</v>
      </c>
      <c r="H27" s="23" t="s">
        <v>121</v>
      </c>
      <c r="I27" s="23" t="s">
        <v>121</v>
      </c>
      <c r="J27" s="23" t="s">
        <v>121</v>
      </c>
      <c r="K27" s="23" t="s">
        <v>121</v>
      </c>
      <c r="L27" s="22" t="n">
        <f aca="false">0</f>
        <v>0</v>
      </c>
      <c r="M27" s="14" t="n">
        <f aca="false">'Mumbai Stock'!F26</f>
        <v>0</v>
      </c>
      <c r="N27" s="14" t="n">
        <f aca="false">MAX(0,L27-M27)</f>
        <v>0</v>
      </c>
    </row>
    <row r="28" customFormat="false" ht="15" hidden="false" customHeight="false" outlineLevel="0" collapsed="false">
      <c r="A28" s="10" t="s">
        <v>40</v>
      </c>
      <c r="B28" s="10" t="s">
        <v>33</v>
      </c>
      <c r="C28" s="10" t="s">
        <v>45</v>
      </c>
      <c r="D28" s="10" t="s">
        <v>34</v>
      </c>
      <c r="E28" s="9" t="n">
        <v>0</v>
      </c>
      <c r="F28" s="23" t="s">
        <v>121</v>
      </c>
      <c r="G28" s="23" t="s">
        <v>121</v>
      </c>
      <c r="H28" s="23" t="s">
        <v>121</v>
      </c>
      <c r="I28" s="23" t="s">
        <v>121</v>
      </c>
      <c r="J28" s="23" t="s">
        <v>121</v>
      </c>
      <c r="K28" s="23" t="s">
        <v>121</v>
      </c>
      <c r="L28" s="22" t="n">
        <f aca="false">0</f>
        <v>0</v>
      </c>
      <c r="M28" s="14" t="n">
        <f aca="false">'Mumbai Stock'!F27</f>
        <v>0</v>
      </c>
      <c r="N28" s="14" t="n">
        <f aca="false">MAX(0,L28-M28)</f>
        <v>0</v>
      </c>
    </row>
    <row r="29" customFormat="false" ht="15" hidden="false" customHeight="false" outlineLevel="0" collapsed="false">
      <c r="A29" s="10" t="s">
        <v>50</v>
      </c>
      <c r="B29" s="10" t="s">
        <v>33</v>
      </c>
      <c r="C29" s="10" t="s">
        <v>45</v>
      </c>
      <c r="D29" s="10" t="s">
        <v>34</v>
      </c>
      <c r="E29" s="9" t="n">
        <v>0</v>
      </c>
      <c r="F29" s="23" t="s">
        <v>121</v>
      </c>
      <c r="G29" s="23" t="s">
        <v>121</v>
      </c>
      <c r="H29" s="23" t="s">
        <v>121</v>
      </c>
      <c r="I29" s="23" t="s">
        <v>121</v>
      </c>
      <c r="J29" s="23" t="s">
        <v>121</v>
      </c>
      <c r="K29" s="23" t="s">
        <v>121</v>
      </c>
      <c r="L29" s="22" t="n">
        <f aca="false">0</f>
        <v>0</v>
      </c>
      <c r="M29" s="14" t="n">
        <f aca="false">'Mumbai Stock'!F28</f>
        <v>0</v>
      </c>
      <c r="N29" s="14" t="n">
        <f aca="false">MAX(0,L29-M29)</f>
        <v>0</v>
      </c>
    </row>
    <row r="30" customFormat="false" ht="15" hidden="false" customHeight="false" outlineLevel="0" collapsed="false">
      <c r="A30" s="10" t="s">
        <v>51</v>
      </c>
      <c r="B30" s="10" t="s">
        <v>33</v>
      </c>
      <c r="C30" s="10" t="s">
        <v>45</v>
      </c>
      <c r="D30" s="10" t="s">
        <v>34</v>
      </c>
      <c r="E30" s="9" t="n">
        <v>0</v>
      </c>
      <c r="F30" s="23" t="s">
        <v>121</v>
      </c>
      <c r="G30" s="23" t="s">
        <v>121</v>
      </c>
      <c r="H30" s="23" t="s">
        <v>121</v>
      </c>
      <c r="I30" s="23" t="s">
        <v>121</v>
      </c>
      <c r="J30" s="23" t="s">
        <v>121</v>
      </c>
      <c r="K30" s="23" t="s">
        <v>121</v>
      </c>
      <c r="L30" s="22" t="n">
        <f aca="false">0</f>
        <v>0</v>
      </c>
      <c r="M30" s="14" t="n">
        <f aca="false">'Mumbai Stock'!F29</f>
        <v>0</v>
      </c>
      <c r="N30" s="14" t="n">
        <f aca="false">MAX(0,L30-M30)</f>
        <v>0</v>
      </c>
    </row>
    <row r="31" customFormat="false" ht="15" hidden="false" customHeight="false" outlineLevel="0" collapsed="false">
      <c r="A31" s="10" t="s">
        <v>52</v>
      </c>
      <c r="B31" s="10" t="s">
        <v>33</v>
      </c>
      <c r="C31" s="10" t="s">
        <v>45</v>
      </c>
      <c r="D31" s="10" t="s">
        <v>34</v>
      </c>
      <c r="E31" s="9" t="n">
        <v>0</v>
      </c>
      <c r="F31" s="23" t="s">
        <v>121</v>
      </c>
      <c r="G31" s="23" t="s">
        <v>121</v>
      </c>
      <c r="H31" s="23" t="s">
        <v>121</v>
      </c>
      <c r="I31" s="23" t="s">
        <v>121</v>
      </c>
      <c r="J31" s="23" t="s">
        <v>121</v>
      </c>
      <c r="K31" s="23" t="s">
        <v>121</v>
      </c>
      <c r="L31" s="22" t="n">
        <f aca="false">0</f>
        <v>0</v>
      </c>
      <c r="M31" s="14" t="n">
        <f aca="false">'Mumbai Stock'!F30</f>
        <v>0</v>
      </c>
      <c r="N31" s="14" t="n">
        <f aca="false">MAX(0,L31-M31)</f>
        <v>0</v>
      </c>
    </row>
    <row r="32" customFormat="false" ht="15" hidden="false" customHeight="false" outlineLevel="0" collapsed="false">
      <c r="A32" s="8" t="s">
        <v>53</v>
      </c>
      <c r="B32" s="8" t="s">
        <v>23</v>
      </c>
      <c r="C32" s="8" t="s">
        <v>54</v>
      </c>
      <c r="D32" s="8" t="s">
        <v>17</v>
      </c>
      <c r="E32" s="7" t="n">
        <v>1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22" t="n">
        <f aca="false">E32*SUM(F32:K32)</f>
        <v>0</v>
      </c>
      <c r="M32" s="14" t="n">
        <f aca="false">'Mumbai Stock'!F31</f>
        <v>0</v>
      </c>
      <c r="N32" s="14" t="n">
        <f aca="false">MAX(0,L32-M32)</f>
        <v>0</v>
      </c>
    </row>
    <row r="33" customFormat="false" ht="15" hidden="false" customHeight="false" outlineLevel="0" collapsed="false">
      <c r="A33" s="8" t="s">
        <v>55</v>
      </c>
      <c r="B33" s="8" t="s">
        <v>23</v>
      </c>
      <c r="C33" s="8" t="s">
        <v>54</v>
      </c>
      <c r="D33" s="8" t="s">
        <v>17</v>
      </c>
      <c r="E33" s="7" t="n">
        <v>1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22" t="n">
        <f aca="false">E33*SUM(F33:K33)</f>
        <v>0</v>
      </c>
      <c r="M33" s="14" t="n">
        <f aca="false">'Mumbai Stock'!F32</f>
        <v>0</v>
      </c>
      <c r="N33" s="14" t="n">
        <f aca="false">MAX(0,L33-M33)</f>
        <v>0</v>
      </c>
    </row>
    <row r="34" customFormat="false" ht="15" hidden="false" customHeight="false" outlineLevel="0" collapsed="false">
      <c r="A34" s="8" t="s">
        <v>56</v>
      </c>
      <c r="B34" s="8" t="s">
        <v>23</v>
      </c>
      <c r="C34" s="8" t="s">
        <v>54</v>
      </c>
      <c r="D34" s="8" t="s">
        <v>30</v>
      </c>
      <c r="E34" s="7" t="n">
        <v>1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22" t="n">
        <f aca="false">E34*SUM(F34:K34)</f>
        <v>0</v>
      </c>
      <c r="M34" s="14" t="n">
        <f aca="false">'Mumbai Stock'!F33</f>
        <v>0</v>
      </c>
      <c r="N34" s="14" t="n">
        <f aca="false">MAX(0,L34-M34)</f>
        <v>0</v>
      </c>
    </row>
    <row r="35" customFormat="false" ht="15" hidden="false" customHeight="false" outlineLevel="0" collapsed="false">
      <c r="A35" s="8" t="s">
        <v>57</v>
      </c>
      <c r="B35" s="8" t="s">
        <v>23</v>
      </c>
      <c r="C35" s="8" t="s">
        <v>54</v>
      </c>
      <c r="D35" s="8" t="s">
        <v>17</v>
      </c>
      <c r="E35" s="7" t="n">
        <v>1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22" t="n">
        <f aca="false">E35*SUM(F35:K35)</f>
        <v>0</v>
      </c>
      <c r="M35" s="14" t="n">
        <f aca="false">'Mumbai Stock'!F34</f>
        <v>0</v>
      </c>
      <c r="N35" s="14" t="n">
        <f aca="false">MAX(0,L35-M35)</f>
        <v>0</v>
      </c>
    </row>
    <row r="36" customFormat="false" ht="15" hidden="false" customHeight="false" outlineLevel="0" collapsed="false">
      <c r="A36" s="8" t="s">
        <v>58</v>
      </c>
      <c r="B36" s="8" t="s">
        <v>23</v>
      </c>
      <c r="C36" s="8" t="s">
        <v>54</v>
      </c>
      <c r="D36" s="8" t="s">
        <v>17</v>
      </c>
      <c r="E36" s="7" t="n">
        <v>10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22" t="n">
        <f aca="false">E36*SUM(F36:K36)</f>
        <v>0</v>
      </c>
      <c r="M36" s="14" t="n">
        <f aca="false">'Mumbai Stock'!F35</f>
        <v>0</v>
      </c>
      <c r="N36" s="14" t="n">
        <f aca="false">MAX(0,L36-M36)</f>
        <v>0</v>
      </c>
    </row>
    <row r="37" customFormat="false" ht="15" hidden="false" customHeight="false" outlineLevel="0" collapsed="false">
      <c r="A37" s="8" t="s">
        <v>60</v>
      </c>
      <c r="B37" s="8" t="s">
        <v>23</v>
      </c>
      <c r="C37" s="8" t="s">
        <v>54</v>
      </c>
      <c r="D37" s="8" t="s">
        <v>17</v>
      </c>
      <c r="E37" s="7" t="n">
        <v>5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22" t="n">
        <f aca="false">E37*SUM(F37:K37)</f>
        <v>0</v>
      </c>
      <c r="M37" s="14" t="n">
        <f aca="false">'Mumbai Stock'!F36</f>
        <v>0</v>
      </c>
      <c r="N37" s="14" t="n">
        <f aca="false">MAX(0,L37-M37)</f>
        <v>0</v>
      </c>
    </row>
    <row r="38" customFormat="false" ht="15" hidden="false" customHeight="false" outlineLevel="0" collapsed="false">
      <c r="A38" s="8" t="s">
        <v>61</v>
      </c>
      <c r="B38" s="8" t="s">
        <v>23</v>
      </c>
      <c r="C38" s="8" t="s">
        <v>54</v>
      </c>
      <c r="D38" s="8" t="s">
        <v>17</v>
      </c>
      <c r="E38" s="7" t="n">
        <v>10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22" t="n">
        <f aca="false">E38*SUM(F38:K38)</f>
        <v>0</v>
      </c>
      <c r="M38" s="14" t="n">
        <f aca="false">'Mumbai Stock'!F37</f>
        <v>0</v>
      </c>
      <c r="N38" s="14" t="n">
        <f aca="false">MAX(0,L38-M38)</f>
        <v>0</v>
      </c>
    </row>
    <row r="39" customFormat="false" ht="15" hidden="false" customHeight="false" outlineLevel="0" collapsed="false">
      <c r="A39" s="8" t="s">
        <v>62</v>
      </c>
      <c r="B39" s="8" t="s">
        <v>23</v>
      </c>
      <c r="C39" s="8" t="s">
        <v>54</v>
      </c>
      <c r="D39" s="8" t="s">
        <v>17</v>
      </c>
      <c r="E39" s="7" t="n">
        <v>2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22" t="n">
        <f aca="false">E39*SUM(F39:K39)</f>
        <v>0</v>
      </c>
      <c r="M39" s="14" t="n">
        <f aca="false">'Mumbai Stock'!F38</f>
        <v>0</v>
      </c>
      <c r="N39" s="14" t="n">
        <f aca="false">MAX(0,L39-M39)</f>
        <v>0</v>
      </c>
    </row>
    <row r="40" customFormat="false" ht="15" hidden="false" customHeight="false" outlineLevel="0" collapsed="false">
      <c r="A40" s="10" t="s">
        <v>36</v>
      </c>
      <c r="B40" s="10" t="s">
        <v>33</v>
      </c>
      <c r="C40" s="10" t="s">
        <v>54</v>
      </c>
      <c r="D40" s="10" t="s">
        <v>34</v>
      </c>
      <c r="E40" s="9" t="n">
        <v>0</v>
      </c>
      <c r="F40" s="23" t="s">
        <v>121</v>
      </c>
      <c r="G40" s="23" t="s">
        <v>121</v>
      </c>
      <c r="H40" s="23" t="s">
        <v>121</v>
      </c>
      <c r="I40" s="23" t="s">
        <v>121</v>
      </c>
      <c r="J40" s="23" t="s">
        <v>121</v>
      </c>
      <c r="K40" s="23" t="s">
        <v>121</v>
      </c>
      <c r="L40" s="22" t="n">
        <f aca="false">0</f>
        <v>0</v>
      </c>
      <c r="M40" s="14" t="n">
        <f aca="false">'Mumbai Stock'!F39</f>
        <v>0</v>
      </c>
      <c r="N40" s="14" t="n">
        <f aca="false">MAX(0,L40-M40)</f>
        <v>0</v>
      </c>
    </row>
    <row r="41" customFormat="false" ht="15" hidden="false" customHeight="false" outlineLevel="0" collapsed="false">
      <c r="A41" s="8" t="s">
        <v>63</v>
      </c>
      <c r="B41" s="8" t="s">
        <v>23</v>
      </c>
      <c r="C41" s="8" t="s">
        <v>64</v>
      </c>
      <c r="D41" s="8" t="s">
        <v>17</v>
      </c>
      <c r="E41" s="7" t="n">
        <v>1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22" t="n">
        <f aca="false">E41*SUM(F41:K41)</f>
        <v>0</v>
      </c>
      <c r="M41" s="14" t="n">
        <f aca="false">'Mumbai Stock'!F40</f>
        <v>0</v>
      </c>
      <c r="N41" s="14" t="n">
        <f aca="false">MAX(0,L41-M41)</f>
        <v>0</v>
      </c>
    </row>
    <row r="42" customFormat="false" ht="15" hidden="false" customHeight="false" outlineLevel="0" collapsed="false">
      <c r="A42" s="8" t="s">
        <v>25</v>
      </c>
      <c r="B42" s="8" t="s">
        <v>23</v>
      </c>
      <c r="C42" s="8" t="s">
        <v>64</v>
      </c>
      <c r="D42" s="8" t="s">
        <v>17</v>
      </c>
      <c r="E42" s="7" t="n">
        <v>2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22" t="n">
        <f aca="false">E42*SUM(F42:K42)</f>
        <v>0</v>
      </c>
      <c r="M42" s="14" t="n">
        <f aca="false">'Mumbai Stock'!F41</f>
        <v>0</v>
      </c>
      <c r="N42" s="14" t="n">
        <f aca="false">MAX(0,L42-M42)</f>
        <v>0</v>
      </c>
    </row>
    <row r="43" customFormat="false" ht="15" hidden="false" customHeight="false" outlineLevel="0" collapsed="false">
      <c r="A43" s="8" t="s">
        <v>26</v>
      </c>
      <c r="B43" s="8" t="s">
        <v>23</v>
      </c>
      <c r="C43" s="8" t="s">
        <v>64</v>
      </c>
      <c r="D43" s="8" t="s">
        <v>17</v>
      </c>
      <c r="E43" s="7" t="n">
        <v>2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22" t="n">
        <f aca="false">E43*SUM(F43:K43)</f>
        <v>0</v>
      </c>
      <c r="M43" s="14" t="n">
        <f aca="false">'Mumbai Stock'!F42</f>
        <v>0</v>
      </c>
      <c r="N43" s="14" t="n">
        <f aca="false">MAX(0,L43-M43)</f>
        <v>0</v>
      </c>
    </row>
    <row r="44" customFormat="false" ht="15" hidden="false" customHeight="false" outlineLevel="0" collapsed="false">
      <c r="A44" s="8" t="s">
        <v>28</v>
      </c>
      <c r="B44" s="8" t="s">
        <v>23</v>
      </c>
      <c r="C44" s="8" t="s">
        <v>64</v>
      </c>
      <c r="D44" s="8" t="s">
        <v>17</v>
      </c>
      <c r="E44" s="7" t="n">
        <v>1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22" t="n">
        <f aca="false">E44*SUM(F44:K44)</f>
        <v>0</v>
      </c>
      <c r="M44" s="14" t="n">
        <f aca="false">'Mumbai Stock'!F43</f>
        <v>0</v>
      </c>
      <c r="N44" s="14" t="n">
        <f aca="false">MAX(0,L44-M44)</f>
        <v>0</v>
      </c>
    </row>
    <row r="45" customFormat="false" ht="15" hidden="false" customHeight="false" outlineLevel="0" collapsed="false">
      <c r="A45" s="8" t="s">
        <v>29</v>
      </c>
      <c r="B45" s="8" t="s">
        <v>23</v>
      </c>
      <c r="C45" s="8" t="s">
        <v>64</v>
      </c>
      <c r="D45" s="8" t="s">
        <v>30</v>
      </c>
      <c r="E45" s="7" t="n">
        <v>1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0</v>
      </c>
      <c r="L45" s="22" t="n">
        <f aca="false">E45*SUM(F45:K45)</f>
        <v>0</v>
      </c>
      <c r="M45" s="14" t="n">
        <f aca="false">'Mumbai Stock'!F44</f>
        <v>0</v>
      </c>
      <c r="N45" s="14" t="n">
        <f aca="false">MAX(0,L45-M45)</f>
        <v>0</v>
      </c>
    </row>
    <row r="46" customFormat="false" ht="15" hidden="false" customHeight="false" outlineLevel="0" collapsed="false">
      <c r="A46" s="10" t="s">
        <v>32</v>
      </c>
      <c r="B46" s="10" t="s">
        <v>33</v>
      </c>
      <c r="C46" s="10" t="s">
        <v>64</v>
      </c>
      <c r="D46" s="10" t="s">
        <v>34</v>
      </c>
      <c r="E46" s="9" t="n">
        <v>0</v>
      </c>
      <c r="F46" s="23" t="s">
        <v>121</v>
      </c>
      <c r="G46" s="23" t="s">
        <v>121</v>
      </c>
      <c r="H46" s="23" t="s">
        <v>121</v>
      </c>
      <c r="I46" s="23" t="s">
        <v>121</v>
      </c>
      <c r="J46" s="23" t="s">
        <v>121</v>
      </c>
      <c r="K46" s="23" t="s">
        <v>121</v>
      </c>
      <c r="L46" s="22" t="n">
        <f aca="false">0</f>
        <v>0</v>
      </c>
      <c r="M46" s="14" t="n">
        <f aca="false">'Mumbai Stock'!F45</f>
        <v>0</v>
      </c>
      <c r="N46" s="14" t="n">
        <f aca="false">MAX(0,L46-M46)</f>
        <v>0</v>
      </c>
    </row>
    <row r="47" customFormat="false" ht="15" hidden="false" customHeight="false" outlineLevel="0" collapsed="false">
      <c r="A47" s="10" t="s">
        <v>36</v>
      </c>
      <c r="B47" s="10" t="s">
        <v>33</v>
      </c>
      <c r="C47" s="10" t="s">
        <v>64</v>
      </c>
      <c r="D47" s="10" t="s">
        <v>34</v>
      </c>
      <c r="E47" s="9" t="n">
        <v>0</v>
      </c>
      <c r="F47" s="23" t="s">
        <v>121</v>
      </c>
      <c r="G47" s="23" t="s">
        <v>121</v>
      </c>
      <c r="H47" s="23" t="s">
        <v>121</v>
      </c>
      <c r="I47" s="23" t="s">
        <v>121</v>
      </c>
      <c r="J47" s="23" t="s">
        <v>121</v>
      </c>
      <c r="K47" s="23" t="s">
        <v>121</v>
      </c>
      <c r="L47" s="22" t="n">
        <f aca="false">0</f>
        <v>0</v>
      </c>
      <c r="M47" s="14" t="n">
        <f aca="false">'Mumbai Stock'!F46</f>
        <v>0</v>
      </c>
      <c r="N47" s="14" t="n">
        <f aca="false">MAX(0,L47-M47)</f>
        <v>0</v>
      </c>
    </row>
    <row r="48" customFormat="false" ht="15" hidden="false" customHeight="false" outlineLevel="0" collapsed="false">
      <c r="A48" s="10" t="s">
        <v>38</v>
      </c>
      <c r="B48" s="10" t="s">
        <v>33</v>
      </c>
      <c r="C48" s="10" t="s">
        <v>64</v>
      </c>
      <c r="D48" s="10" t="s">
        <v>34</v>
      </c>
      <c r="E48" s="9" t="n">
        <v>0</v>
      </c>
      <c r="F48" s="23" t="s">
        <v>121</v>
      </c>
      <c r="G48" s="23" t="s">
        <v>121</v>
      </c>
      <c r="H48" s="23" t="s">
        <v>121</v>
      </c>
      <c r="I48" s="23" t="s">
        <v>121</v>
      </c>
      <c r="J48" s="23" t="s">
        <v>121</v>
      </c>
      <c r="K48" s="23" t="s">
        <v>121</v>
      </c>
      <c r="L48" s="22" t="n">
        <f aca="false">0</f>
        <v>0</v>
      </c>
      <c r="M48" s="14" t="n">
        <f aca="false">'Mumbai Stock'!F47</f>
        <v>0</v>
      </c>
      <c r="N48" s="14" t="n">
        <f aca="false">MAX(0,L48-M48)</f>
        <v>0</v>
      </c>
    </row>
    <row r="49" customFormat="false" ht="15" hidden="false" customHeight="false" outlineLevel="0" collapsed="false">
      <c r="A49" s="10" t="s">
        <v>40</v>
      </c>
      <c r="B49" s="10" t="s">
        <v>33</v>
      </c>
      <c r="C49" s="10" t="s">
        <v>64</v>
      </c>
      <c r="D49" s="10" t="s">
        <v>34</v>
      </c>
      <c r="E49" s="9" t="n">
        <v>0</v>
      </c>
      <c r="F49" s="23" t="s">
        <v>121</v>
      </c>
      <c r="G49" s="23" t="s">
        <v>121</v>
      </c>
      <c r="H49" s="23" t="s">
        <v>121</v>
      </c>
      <c r="I49" s="23" t="s">
        <v>121</v>
      </c>
      <c r="J49" s="23" t="s">
        <v>121</v>
      </c>
      <c r="K49" s="23" t="s">
        <v>121</v>
      </c>
      <c r="L49" s="22" t="n">
        <f aca="false">0</f>
        <v>0</v>
      </c>
      <c r="M49" s="14" t="n">
        <f aca="false">'Mumbai Stock'!F48</f>
        <v>0</v>
      </c>
      <c r="N49" s="14" t="n">
        <f aca="false">MAX(0,L49-M49)</f>
        <v>0</v>
      </c>
    </row>
    <row r="50" customFormat="false" ht="15" hidden="false" customHeight="false" outlineLevel="0" collapsed="false">
      <c r="A50" s="10" t="s">
        <v>42</v>
      </c>
      <c r="B50" s="10" t="s">
        <v>33</v>
      </c>
      <c r="C50" s="10" t="s">
        <v>64</v>
      </c>
      <c r="D50" s="10" t="s">
        <v>34</v>
      </c>
      <c r="E50" s="9" t="n">
        <v>0</v>
      </c>
      <c r="F50" s="23" t="s">
        <v>121</v>
      </c>
      <c r="G50" s="23" t="s">
        <v>121</v>
      </c>
      <c r="H50" s="23" t="s">
        <v>121</v>
      </c>
      <c r="I50" s="23" t="s">
        <v>121</v>
      </c>
      <c r="J50" s="23" t="s">
        <v>121</v>
      </c>
      <c r="K50" s="23" t="s">
        <v>121</v>
      </c>
      <c r="L50" s="22" t="n">
        <f aca="false">0</f>
        <v>0</v>
      </c>
      <c r="M50" s="14" t="n">
        <f aca="false">'Mumbai Stock'!F49</f>
        <v>0</v>
      </c>
      <c r="N50" s="14" t="n">
        <f aca="false">MAX(0,L50-M50)</f>
        <v>0</v>
      </c>
    </row>
    <row r="51" customFormat="false" ht="15" hidden="false" customHeight="false" outlineLevel="0" collapsed="false">
      <c r="A51" s="10" t="s">
        <v>43</v>
      </c>
      <c r="B51" s="10" t="s">
        <v>33</v>
      </c>
      <c r="C51" s="10" t="s">
        <v>64</v>
      </c>
      <c r="D51" s="10" t="s">
        <v>34</v>
      </c>
      <c r="E51" s="9" t="n">
        <v>0</v>
      </c>
      <c r="F51" s="23" t="s">
        <v>121</v>
      </c>
      <c r="G51" s="23" t="s">
        <v>121</v>
      </c>
      <c r="H51" s="23" t="s">
        <v>121</v>
      </c>
      <c r="I51" s="23" t="s">
        <v>121</v>
      </c>
      <c r="J51" s="23" t="s">
        <v>121</v>
      </c>
      <c r="K51" s="23" t="s">
        <v>121</v>
      </c>
      <c r="L51" s="22" t="n">
        <f aca="false">0</f>
        <v>0</v>
      </c>
      <c r="M51" s="14" t="n">
        <f aca="false">'Mumbai Stock'!F50</f>
        <v>0</v>
      </c>
      <c r="N51" s="14" t="n">
        <f aca="false">MAX(0,L51-M51)</f>
        <v>0</v>
      </c>
    </row>
    <row r="52" customFormat="false" ht="15" hidden="false" customHeight="false" outlineLevel="0" collapsed="false">
      <c r="A52" s="8" t="s">
        <v>65</v>
      </c>
      <c r="B52" s="8" t="s">
        <v>23</v>
      </c>
      <c r="C52" s="8" t="s">
        <v>66</v>
      </c>
      <c r="D52" s="8" t="s">
        <v>17</v>
      </c>
      <c r="E52" s="7" t="n">
        <v>1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22" t="n">
        <f aca="false">E52*SUM(F52:K52)</f>
        <v>0</v>
      </c>
      <c r="M52" s="14" t="n">
        <f aca="false">'Mumbai Stock'!F51</f>
        <v>0</v>
      </c>
      <c r="N52" s="14" t="n">
        <f aca="false">MAX(0,L52-M52)</f>
        <v>0</v>
      </c>
    </row>
    <row r="53" customFormat="false" ht="15" hidden="false" customHeight="false" outlineLevel="0" collapsed="false">
      <c r="A53" s="10" t="s">
        <v>32</v>
      </c>
      <c r="B53" s="10" t="s">
        <v>33</v>
      </c>
      <c r="C53" s="10" t="s">
        <v>66</v>
      </c>
      <c r="D53" s="10" t="s">
        <v>34</v>
      </c>
      <c r="E53" s="9" t="n">
        <v>0</v>
      </c>
      <c r="F53" s="23" t="s">
        <v>121</v>
      </c>
      <c r="G53" s="23" t="s">
        <v>121</v>
      </c>
      <c r="H53" s="23" t="s">
        <v>121</v>
      </c>
      <c r="I53" s="23" t="s">
        <v>121</v>
      </c>
      <c r="J53" s="23" t="s">
        <v>121</v>
      </c>
      <c r="K53" s="23" t="s">
        <v>121</v>
      </c>
      <c r="L53" s="22" t="n">
        <f aca="false">0</f>
        <v>0</v>
      </c>
      <c r="M53" s="14" t="n">
        <f aca="false">'Mumbai Stock'!F52</f>
        <v>0</v>
      </c>
      <c r="N53" s="14" t="n">
        <f aca="false">MAX(0,L53-M53)</f>
        <v>0</v>
      </c>
    </row>
    <row r="54" customFormat="false" ht="15" hidden="false" customHeight="false" outlineLevel="0" collapsed="false">
      <c r="A54" s="10" t="s">
        <v>36</v>
      </c>
      <c r="B54" s="10" t="s">
        <v>33</v>
      </c>
      <c r="C54" s="10" t="s">
        <v>66</v>
      </c>
      <c r="D54" s="10" t="s">
        <v>34</v>
      </c>
      <c r="E54" s="9" t="n">
        <v>0</v>
      </c>
      <c r="F54" s="23" t="s">
        <v>121</v>
      </c>
      <c r="G54" s="23" t="s">
        <v>121</v>
      </c>
      <c r="H54" s="23" t="s">
        <v>121</v>
      </c>
      <c r="I54" s="23" t="s">
        <v>121</v>
      </c>
      <c r="J54" s="23" t="s">
        <v>121</v>
      </c>
      <c r="K54" s="23" t="s">
        <v>121</v>
      </c>
      <c r="L54" s="22" t="n">
        <f aca="false">0</f>
        <v>0</v>
      </c>
      <c r="M54" s="14" t="n">
        <f aca="false">'Mumbai Stock'!F53</f>
        <v>0</v>
      </c>
      <c r="N54" s="14" t="n">
        <f aca="false">MAX(0,L54-M54)</f>
        <v>0</v>
      </c>
    </row>
    <row r="55" customFormat="false" ht="15" hidden="false" customHeight="false" outlineLevel="0" collapsed="false">
      <c r="A55" s="10" t="s">
        <v>38</v>
      </c>
      <c r="B55" s="10" t="s">
        <v>33</v>
      </c>
      <c r="C55" s="10" t="s">
        <v>66</v>
      </c>
      <c r="D55" s="10" t="s">
        <v>34</v>
      </c>
      <c r="E55" s="9" t="n">
        <v>0</v>
      </c>
      <c r="F55" s="23" t="s">
        <v>121</v>
      </c>
      <c r="G55" s="23" t="s">
        <v>121</v>
      </c>
      <c r="H55" s="23" t="s">
        <v>121</v>
      </c>
      <c r="I55" s="23" t="s">
        <v>121</v>
      </c>
      <c r="J55" s="23" t="s">
        <v>121</v>
      </c>
      <c r="K55" s="23" t="s">
        <v>121</v>
      </c>
      <c r="L55" s="22" t="n">
        <f aca="false">0</f>
        <v>0</v>
      </c>
      <c r="M55" s="14" t="n">
        <f aca="false">'Mumbai Stock'!F54</f>
        <v>0</v>
      </c>
      <c r="N55" s="14" t="n">
        <f aca="false">MAX(0,L55-M55)</f>
        <v>0</v>
      </c>
    </row>
    <row r="56" customFormat="false" ht="15" hidden="false" customHeight="false" outlineLevel="0" collapsed="false">
      <c r="A56" s="8" t="s">
        <v>67</v>
      </c>
      <c r="B56" s="8" t="s">
        <v>23</v>
      </c>
      <c r="C56" s="8" t="s">
        <v>68</v>
      </c>
      <c r="D56" s="8" t="s">
        <v>17</v>
      </c>
      <c r="E56" s="7" t="n">
        <v>1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22" t="n">
        <f aca="false">E56*SUM(F56:K56)</f>
        <v>0</v>
      </c>
      <c r="M56" s="14" t="n">
        <f aca="false">'Mumbai Stock'!F55</f>
        <v>0</v>
      </c>
      <c r="N56" s="14" t="n">
        <f aca="false">MAX(0,L56-M56)</f>
        <v>0</v>
      </c>
    </row>
    <row r="57" customFormat="false" ht="15" hidden="false" customHeight="false" outlineLevel="0" collapsed="false">
      <c r="A57" s="8" t="s">
        <v>27</v>
      </c>
      <c r="B57" s="8" t="s">
        <v>23</v>
      </c>
      <c r="C57" s="8" t="s">
        <v>68</v>
      </c>
      <c r="D57" s="8" t="s">
        <v>17</v>
      </c>
      <c r="E57" s="7" t="n">
        <v>1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</v>
      </c>
      <c r="K57" s="13" t="n">
        <v>0</v>
      </c>
      <c r="L57" s="22" t="n">
        <f aca="false">E57*SUM(F57:K57)</f>
        <v>0</v>
      </c>
      <c r="M57" s="14" t="n">
        <f aca="false">'Mumbai Stock'!F56</f>
        <v>0</v>
      </c>
      <c r="N57" s="14" t="n">
        <f aca="false">MAX(0,L57-M57)</f>
        <v>0</v>
      </c>
    </row>
    <row r="58" customFormat="false" ht="15" hidden="false" customHeight="false" outlineLevel="0" collapsed="false">
      <c r="A58" s="8" t="s">
        <v>69</v>
      </c>
      <c r="B58" s="8" t="s">
        <v>23</v>
      </c>
      <c r="C58" s="8" t="s">
        <v>68</v>
      </c>
      <c r="D58" s="8" t="s">
        <v>17</v>
      </c>
      <c r="E58" s="7" t="n">
        <v>1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22" t="n">
        <f aca="false">E58*SUM(F58:K58)</f>
        <v>0</v>
      </c>
      <c r="M58" s="14" t="n">
        <f aca="false">'Mumbai Stock'!F57</f>
        <v>0</v>
      </c>
      <c r="N58" s="14" t="n">
        <f aca="false">MAX(0,L58-M58)</f>
        <v>0</v>
      </c>
    </row>
    <row r="59" customFormat="false" ht="15" hidden="false" customHeight="false" outlineLevel="0" collapsed="false">
      <c r="A59" s="10" t="s">
        <v>32</v>
      </c>
      <c r="B59" s="10" t="s">
        <v>33</v>
      </c>
      <c r="C59" s="10" t="s">
        <v>68</v>
      </c>
      <c r="D59" s="10" t="s">
        <v>34</v>
      </c>
      <c r="E59" s="9" t="n">
        <v>0</v>
      </c>
      <c r="F59" s="23" t="s">
        <v>121</v>
      </c>
      <c r="G59" s="23" t="s">
        <v>121</v>
      </c>
      <c r="H59" s="23" t="s">
        <v>121</v>
      </c>
      <c r="I59" s="23" t="s">
        <v>121</v>
      </c>
      <c r="J59" s="23" t="s">
        <v>121</v>
      </c>
      <c r="K59" s="23" t="s">
        <v>121</v>
      </c>
      <c r="L59" s="22" t="n">
        <f aca="false">0</f>
        <v>0</v>
      </c>
      <c r="M59" s="14" t="n">
        <f aca="false">'Mumbai Stock'!F58</f>
        <v>0</v>
      </c>
      <c r="N59" s="14" t="n">
        <f aca="false">MAX(0,L59-M59)</f>
        <v>0</v>
      </c>
    </row>
    <row r="60" customFormat="false" ht="15" hidden="false" customHeight="false" outlineLevel="0" collapsed="false">
      <c r="A60" s="10" t="s">
        <v>36</v>
      </c>
      <c r="B60" s="10" t="s">
        <v>33</v>
      </c>
      <c r="C60" s="10" t="s">
        <v>68</v>
      </c>
      <c r="D60" s="10" t="s">
        <v>34</v>
      </c>
      <c r="E60" s="9" t="n">
        <v>0</v>
      </c>
      <c r="F60" s="23" t="s">
        <v>121</v>
      </c>
      <c r="G60" s="23" t="s">
        <v>121</v>
      </c>
      <c r="H60" s="23" t="s">
        <v>121</v>
      </c>
      <c r="I60" s="23" t="s">
        <v>121</v>
      </c>
      <c r="J60" s="23" t="s">
        <v>121</v>
      </c>
      <c r="K60" s="23" t="s">
        <v>121</v>
      </c>
      <c r="L60" s="22" t="n">
        <f aca="false">0</f>
        <v>0</v>
      </c>
      <c r="M60" s="14" t="n">
        <f aca="false">'Mumbai Stock'!F59</f>
        <v>0</v>
      </c>
      <c r="N60" s="14" t="n">
        <f aca="false">MAX(0,L60-M60)</f>
        <v>0</v>
      </c>
    </row>
    <row r="61" customFormat="false" ht="15" hidden="false" customHeight="false" outlineLevel="0" collapsed="false">
      <c r="A61" s="10" t="s">
        <v>70</v>
      </c>
      <c r="B61" s="10" t="s">
        <v>33</v>
      </c>
      <c r="C61" s="10" t="s">
        <v>68</v>
      </c>
      <c r="D61" s="10" t="s">
        <v>34</v>
      </c>
      <c r="E61" s="9" t="n">
        <v>0</v>
      </c>
      <c r="F61" s="23" t="s">
        <v>121</v>
      </c>
      <c r="G61" s="23" t="s">
        <v>121</v>
      </c>
      <c r="H61" s="23" t="s">
        <v>121</v>
      </c>
      <c r="I61" s="23" t="s">
        <v>121</v>
      </c>
      <c r="J61" s="23" t="s">
        <v>121</v>
      </c>
      <c r="K61" s="23" t="s">
        <v>121</v>
      </c>
      <c r="L61" s="22" t="n">
        <f aca="false">0</f>
        <v>0</v>
      </c>
      <c r="M61" s="14" t="n">
        <f aca="false">'Mumbai Stock'!F60</f>
        <v>0</v>
      </c>
      <c r="N61" s="14" t="n">
        <f aca="false">MAX(0,L61-M61)</f>
        <v>0</v>
      </c>
    </row>
    <row r="62" customFormat="false" ht="15" hidden="false" customHeight="false" outlineLevel="0" collapsed="false">
      <c r="A62" s="10" t="s">
        <v>71</v>
      </c>
      <c r="B62" s="10" t="s">
        <v>33</v>
      </c>
      <c r="C62" s="10" t="s">
        <v>68</v>
      </c>
      <c r="D62" s="10" t="s">
        <v>34</v>
      </c>
      <c r="E62" s="9" t="n">
        <v>0</v>
      </c>
      <c r="F62" s="23" t="s">
        <v>121</v>
      </c>
      <c r="G62" s="23" t="s">
        <v>121</v>
      </c>
      <c r="H62" s="23" t="s">
        <v>121</v>
      </c>
      <c r="I62" s="23" t="s">
        <v>121</v>
      </c>
      <c r="J62" s="23" t="s">
        <v>121</v>
      </c>
      <c r="K62" s="23" t="s">
        <v>121</v>
      </c>
      <c r="L62" s="22" t="n">
        <f aca="false">0</f>
        <v>0</v>
      </c>
      <c r="M62" s="14" t="n">
        <f aca="false">'Mumbai Stock'!F61</f>
        <v>0</v>
      </c>
      <c r="N62" s="14" t="n">
        <f aca="false">MAX(0,L62-M62)</f>
        <v>0</v>
      </c>
    </row>
    <row r="63" customFormat="false" ht="15" hidden="false" customHeight="false" outlineLevel="0" collapsed="false">
      <c r="A63" s="8" t="s">
        <v>72</v>
      </c>
      <c r="B63" s="8" t="s">
        <v>23</v>
      </c>
      <c r="C63" s="8" t="s">
        <v>73</v>
      </c>
      <c r="D63" s="8" t="s">
        <v>17</v>
      </c>
      <c r="E63" s="7" t="n">
        <v>1</v>
      </c>
      <c r="F63" s="13" t="n">
        <v>0</v>
      </c>
      <c r="G63" s="13" t="n">
        <v>0</v>
      </c>
      <c r="H63" s="13" t="n">
        <v>0</v>
      </c>
      <c r="I63" s="13" t="n">
        <v>0</v>
      </c>
      <c r="J63" s="13" t="n">
        <v>0</v>
      </c>
      <c r="K63" s="13" t="n">
        <v>0</v>
      </c>
      <c r="L63" s="22" t="n">
        <f aca="false">E63*SUM(F63:K63)</f>
        <v>0</v>
      </c>
      <c r="M63" s="14" t="n">
        <f aca="false">'Mumbai Stock'!F62</f>
        <v>0</v>
      </c>
      <c r="N63" s="14" t="n">
        <f aca="false">MAX(0,L63-M63)</f>
        <v>0</v>
      </c>
    </row>
    <row r="64" customFormat="false" ht="15" hidden="false" customHeight="false" outlineLevel="0" collapsed="false">
      <c r="A64" s="10" t="s">
        <v>32</v>
      </c>
      <c r="B64" s="10" t="s">
        <v>33</v>
      </c>
      <c r="C64" s="10" t="s">
        <v>73</v>
      </c>
      <c r="D64" s="10" t="s">
        <v>34</v>
      </c>
      <c r="E64" s="9" t="n">
        <v>0</v>
      </c>
      <c r="F64" s="23" t="s">
        <v>121</v>
      </c>
      <c r="G64" s="23" t="s">
        <v>121</v>
      </c>
      <c r="H64" s="23" t="s">
        <v>121</v>
      </c>
      <c r="I64" s="23" t="s">
        <v>121</v>
      </c>
      <c r="J64" s="23" t="s">
        <v>121</v>
      </c>
      <c r="K64" s="23" t="s">
        <v>121</v>
      </c>
      <c r="L64" s="22" t="n">
        <f aca="false">0</f>
        <v>0</v>
      </c>
      <c r="M64" s="14" t="n">
        <f aca="false">'Mumbai Stock'!F63</f>
        <v>0</v>
      </c>
      <c r="N64" s="14" t="n">
        <f aca="false">MAX(0,L64-M64)</f>
        <v>0</v>
      </c>
    </row>
    <row r="65" customFormat="false" ht="15" hidden="false" customHeight="false" outlineLevel="0" collapsed="false">
      <c r="A65" s="10" t="s">
        <v>36</v>
      </c>
      <c r="B65" s="10" t="s">
        <v>33</v>
      </c>
      <c r="C65" s="10" t="s">
        <v>73</v>
      </c>
      <c r="D65" s="10" t="s">
        <v>34</v>
      </c>
      <c r="E65" s="9" t="n">
        <v>0</v>
      </c>
      <c r="F65" s="23" t="s">
        <v>121</v>
      </c>
      <c r="G65" s="23" t="s">
        <v>121</v>
      </c>
      <c r="H65" s="23" t="s">
        <v>121</v>
      </c>
      <c r="I65" s="23" t="s">
        <v>121</v>
      </c>
      <c r="J65" s="23" t="s">
        <v>121</v>
      </c>
      <c r="K65" s="23" t="s">
        <v>121</v>
      </c>
      <c r="L65" s="22" t="n">
        <f aca="false">0</f>
        <v>0</v>
      </c>
      <c r="M65" s="14" t="n">
        <f aca="false">'Mumbai Stock'!F64</f>
        <v>0</v>
      </c>
      <c r="N65" s="14" t="n">
        <f aca="false">MAX(0,L65-M65)</f>
        <v>0</v>
      </c>
    </row>
    <row r="66" customFormat="false" ht="15" hidden="false" customHeight="false" outlineLevel="0" collapsed="false">
      <c r="A66" s="10" t="s">
        <v>38</v>
      </c>
      <c r="B66" s="10" t="s">
        <v>33</v>
      </c>
      <c r="C66" s="10" t="s">
        <v>73</v>
      </c>
      <c r="D66" s="10" t="s">
        <v>34</v>
      </c>
      <c r="E66" s="9" t="n">
        <v>0</v>
      </c>
      <c r="F66" s="23" t="s">
        <v>121</v>
      </c>
      <c r="G66" s="23" t="s">
        <v>121</v>
      </c>
      <c r="H66" s="23" t="s">
        <v>121</v>
      </c>
      <c r="I66" s="23" t="s">
        <v>121</v>
      </c>
      <c r="J66" s="23" t="s">
        <v>121</v>
      </c>
      <c r="K66" s="23" t="s">
        <v>121</v>
      </c>
      <c r="L66" s="22" t="n">
        <f aca="false">0</f>
        <v>0</v>
      </c>
      <c r="M66" s="14" t="n">
        <f aca="false">'Mumbai Stock'!F65</f>
        <v>0</v>
      </c>
      <c r="N66" s="14" t="n">
        <f aca="false">MAX(0,L66-M66)</f>
        <v>0</v>
      </c>
    </row>
    <row r="67" customFormat="false" ht="15" hidden="false" customHeight="false" outlineLevel="0" collapsed="false">
      <c r="A67" s="10" t="s">
        <v>49</v>
      </c>
      <c r="B67" s="10" t="s">
        <v>33</v>
      </c>
      <c r="C67" s="10" t="s">
        <v>73</v>
      </c>
      <c r="D67" s="10" t="s">
        <v>34</v>
      </c>
      <c r="E67" s="9" t="n">
        <v>0</v>
      </c>
      <c r="F67" s="23" t="s">
        <v>121</v>
      </c>
      <c r="G67" s="23" t="s">
        <v>121</v>
      </c>
      <c r="H67" s="23" t="s">
        <v>121</v>
      </c>
      <c r="I67" s="23" t="s">
        <v>121</v>
      </c>
      <c r="J67" s="23" t="s">
        <v>121</v>
      </c>
      <c r="K67" s="23" t="s">
        <v>121</v>
      </c>
      <c r="L67" s="22" t="n">
        <f aca="false">0</f>
        <v>0</v>
      </c>
      <c r="M67" s="14" t="n">
        <f aca="false">'Mumbai Stock'!F66</f>
        <v>0</v>
      </c>
      <c r="N67" s="14" t="n">
        <f aca="false">MAX(0,L67-M67)</f>
        <v>0</v>
      </c>
    </row>
    <row r="68" customFormat="false" ht="15" hidden="false" customHeight="false" outlineLevel="0" collapsed="false">
      <c r="A68" s="10" t="s">
        <v>40</v>
      </c>
      <c r="B68" s="10" t="s">
        <v>33</v>
      </c>
      <c r="C68" s="10" t="s">
        <v>73</v>
      </c>
      <c r="D68" s="10" t="s">
        <v>34</v>
      </c>
      <c r="E68" s="9" t="n">
        <v>0</v>
      </c>
      <c r="F68" s="23" t="s">
        <v>121</v>
      </c>
      <c r="G68" s="23" t="s">
        <v>121</v>
      </c>
      <c r="H68" s="23" t="s">
        <v>121</v>
      </c>
      <c r="I68" s="23" t="s">
        <v>121</v>
      </c>
      <c r="J68" s="23" t="s">
        <v>121</v>
      </c>
      <c r="K68" s="23" t="s">
        <v>121</v>
      </c>
      <c r="L68" s="22" t="n">
        <f aca="false">0</f>
        <v>0</v>
      </c>
      <c r="M68" s="14" t="n">
        <f aca="false">'Mumbai Stock'!F67</f>
        <v>0</v>
      </c>
      <c r="N68" s="14" t="n">
        <f aca="false">MAX(0,L68-M68)</f>
        <v>0</v>
      </c>
    </row>
    <row r="69" customFormat="false" ht="15" hidden="false" customHeight="false" outlineLevel="0" collapsed="false">
      <c r="A69" s="10" t="s">
        <v>50</v>
      </c>
      <c r="B69" s="10" t="s">
        <v>33</v>
      </c>
      <c r="C69" s="10" t="s">
        <v>73</v>
      </c>
      <c r="D69" s="10" t="s">
        <v>34</v>
      </c>
      <c r="E69" s="9" t="n">
        <v>0</v>
      </c>
      <c r="F69" s="23" t="s">
        <v>121</v>
      </c>
      <c r="G69" s="23" t="s">
        <v>121</v>
      </c>
      <c r="H69" s="23" t="s">
        <v>121</v>
      </c>
      <c r="I69" s="23" t="s">
        <v>121</v>
      </c>
      <c r="J69" s="23" t="s">
        <v>121</v>
      </c>
      <c r="K69" s="23" t="s">
        <v>121</v>
      </c>
      <c r="L69" s="22" t="n">
        <f aca="false">0</f>
        <v>0</v>
      </c>
      <c r="M69" s="14" t="n">
        <f aca="false">'Mumbai Stock'!F68</f>
        <v>0</v>
      </c>
      <c r="N69" s="14" t="n">
        <f aca="false">MAX(0,L69-M69)</f>
        <v>0</v>
      </c>
    </row>
    <row r="70" customFormat="false" ht="15" hidden="false" customHeight="false" outlineLevel="0" collapsed="false">
      <c r="A70" s="8" t="s">
        <v>74</v>
      </c>
      <c r="B70" s="8" t="s">
        <v>23</v>
      </c>
      <c r="C70" s="8" t="s">
        <v>75</v>
      </c>
      <c r="D70" s="8" t="s">
        <v>17</v>
      </c>
      <c r="E70" s="7" t="n">
        <v>1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22" t="n">
        <f aca="false">E70*SUM(F70:K70)</f>
        <v>0</v>
      </c>
      <c r="M70" s="14" t="n">
        <f aca="false">'Mumbai Stock'!F69</f>
        <v>0</v>
      </c>
      <c r="N70" s="14" t="n">
        <f aca="false">MAX(0,L70-M70)</f>
        <v>0</v>
      </c>
    </row>
    <row r="71" customFormat="false" ht="15" hidden="false" customHeight="false" outlineLevel="0" collapsed="false">
      <c r="A71" s="10" t="s">
        <v>76</v>
      </c>
      <c r="B71" s="10" t="s">
        <v>33</v>
      </c>
      <c r="C71" s="10" t="s">
        <v>75</v>
      </c>
      <c r="D71" s="10" t="s">
        <v>34</v>
      </c>
      <c r="E71" s="9" t="n">
        <v>0</v>
      </c>
      <c r="F71" s="23" t="s">
        <v>121</v>
      </c>
      <c r="G71" s="23" t="s">
        <v>121</v>
      </c>
      <c r="H71" s="23" t="s">
        <v>121</v>
      </c>
      <c r="I71" s="23" t="s">
        <v>121</v>
      </c>
      <c r="J71" s="23" t="s">
        <v>121</v>
      </c>
      <c r="K71" s="23" t="s">
        <v>121</v>
      </c>
      <c r="L71" s="22" t="n">
        <f aca="false">0</f>
        <v>0</v>
      </c>
      <c r="M71" s="14" t="n">
        <f aca="false">'Mumbai Stock'!F70</f>
        <v>0</v>
      </c>
      <c r="N71" s="14" t="n">
        <f aca="false">MAX(0,L71-M71)</f>
        <v>0</v>
      </c>
    </row>
    <row r="72" customFormat="false" ht="15" hidden="false" customHeight="false" outlineLevel="0" collapsed="false">
      <c r="A72" s="8" t="s">
        <v>78</v>
      </c>
      <c r="B72" s="8" t="s">
        <v>23</v>
      </c>
      <c r="C72" s="8" t="s">
        <v>79</v>
      </c>
      <c r="D72" s="8" t="s">
        <v>17</v>
      </c>
      <c r="E72" s="7" t="n">
        <v>1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22" t="n">
        <f aca="false">E72*SUM(F72:K72)</f>
        <v>0</v>
      </c>
      <c r="M72" s="14" t="n">
        <f aca="false">'Mumbai Stock'!F71</f>
        <v>0</v>
      </c>
      <c r="N72" s="14" t="n">
        <f aca="false">MAX(0,L72-M72)</f>
        <v>0</v>
      </c>
    </row>
    <row r="73" customFormat="false" ht="15" hidden="false" customHeight="false" outlineLevel="0" collapsed="false">
      <c r="A73" s="8" t="s">
        <v>80</v>
      </c>
      <c r="B73" s="8" t="s">
        <v>23</v>
      </c>
      <c r="C73" s="8" t="s">
        <v>81</v>
      </c>
      <c r="D73" s="8" t="s">
        <v>17</v>
      </c>
      <c r="E73" s="7" t="n">
        <v>1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22" t="n">
        <f aca="false">E73*SUM(F73:K73)</f>
        <v>0</v>
      </c>
      <c r="M73" s="14" t="n">
        <f aca="false">'Mumbai Stock'!F72</f>
        <v>0</v>
      </c>
      <c r="N73" s="14" t="n">
        <f aca="false">MAX(0,L73-M73)</f>
        <v>0</v>
      </c>
    </row>
    <row r="74" customFormat="false" ht="15" hidden="false" customHeight="false" outlineLevel="0" collapsed="false">
      <c r="A74" s="8" t="s">
        <v>82</v>
      </c>
      <c r="B74" s="8" t="s">
        <v>23</v>
      </c>
      <c r="C74" s="8" t="s">
        <v>81</v>
      </c>
      <c r="D74" s="8" t="s">
        <v>17</v>
      </c>
      <c r="E74" s="7" t="n">
        <v>2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22" t="n">
        <f aca="false">E74*SUM(F74:K74)</f>
        <v>0</v>
      </c>
      <c r="M74" s="14" t="n">
        <f aca="false">'Mumbai Stock'!F73</f>
        <v>0</v>
      </c>
      <c r="N74" s="14" t="n">
        <f aca="false">MAX(0,L74-M74)</f>
        <v>0</v>
      </c>
    </row>
    <row r="75" customFormat="false" ht="15" hidden="false" customHeight="false" outlineLevel="0" collapsed="false">
      <c r="A75" s="8" t="s">
        <v>83</v>
      </c>
      <c r="B75" s="8" t="s">
        <v>23</v>
      </c>
      <c r="C75" s="8" t="s">
        <v>81</v>
      </c>
      <c r="D75" s="8" t="s">
        <v>30</v>
      </c>
      <c r="E75" s="7" t="n">
        <v>1</v>
      </c>
      <c r="F75" s="13" t="n">
        <v>0</v>
      </c>
      <c r="G75" s="13" t="n">
        <v>0</v>
      </c>
      <c r="H75" s="13" t="n">
        <v>0</v>
      </c>
      <c r="I75" s="13" t="n">
        <v>0</v>
      </c>
      <c r="J75" s="13" t="n">
        <v>0</v>
      </c>
      <c r="K75" s="13" t="n">
        <v>0</v>
      </c>
      <c r="L75" s="22" t="n">
        <f aca="false">E75*SUM(F75:K75)</f>
        <v>0</v>
      </c>
      <c r="M75" s="14" t="n">
        <f aca="false">'Mumbai Stock'!F74</f>
        <v>0</v>
      </c>
      <c r="N75" s="14" t="n">
        <f aca="false">MAX(0,L75-M75)</f>
        <v>0</v>
      </c>
    </row>
    <row r="76" customFormat="false" ht="15" hidden="false" customHeight="false" outlineLevel="0" collapsed="false">
      <c r="A76" s="10" t="s">
        <v>36</v>
      </c>
      <c r="B76" s="10" t="s">
        <v>33</v>
      </c>
      <c r="C76" s="10" t="s">
        <v>81</v>
      </c>
      <c r="D76" s="10" t="s">
        <v>34</v>
      </c>
      <c r="E76" s="9" t="n">
        <v>0</v>
      </c>
      <c r="F76" s="23" t="s">
        <v>121</v>
      </c>
      <c r="G76" s="23" t="s">
        <v>121</v>
      </c>
      <c r="H76" s="23" t="s">
        <v>121</v>
      </c>
      <c r="I76" s="23" t="s">
        <v>121</v>
      </c>
      <c r="J76" s="23" t="s">
        <v>121</v>
      </c>
      <c r="K76" s="23" t="s">
        <v>121</v>
      </c>
      <c r="L76" s="22" t="n">
        <f aca="false">0</f>
        <v>0</v>
      </c>
      <c r="M76" s="14" t="n">
        <f aca="false">'Mumbai Stock'!F75</f>
        <v>0</v>
      </c>
      <c r="N76" s="14" t="n">
        <f aca="false">MAX(0,L76-M76)</f>
        <v>0</v>
      </c>
    </row>
    <row r="77" customFormat="false" ht="15" hidden="false" customHeight="false" outlineLevel="0" collapsed="false">
      <c r="A77" s="10" t="s">
        <v>84</v>
      </c>
      <c r="B77" s="10" t="s">
        <v>33</v>
      </c>
      <c r="C77" s="10" t="s">
        <v>81</v>
      </c>
      <c r="D77" s="10" t="s">
        <v>34</v>
      </c>
      <c r="E77" s="9" t="n">
        <v>0</v>
      </c>
      <c r="F77" s="23" t="s">
        <v>121</v>
      </c>
      <c r="G77" s="23" t="s">
        <v>121</v>
      </c>
      <c r="H77" s="23" t="s">
        <v>121</v>
      </c>
      <c r="I77" s="23" t="s">
        <v>121</v>
      </c>
      <c r="J77" s="23" t="s">
        <v>121</v>
      </c>
      <c r="K77" s="23" t="s">
        <v>121</v>
      </c>
      <c r="L77" s="22" t="n">
        <f aca="false">0</f>
        <v>0</v>
      </c>
      <c r="M77" s="14" t="n">
        <f aca="false">'Mumbai Stock'!F76</f>
        <v>0</v>
      </c>
      <c r="N77" s="14" t="n">
        <f aca="false">MAX(0,L77-M77)</f>
        <v>0</v>
      </c>
    </row>
    <row r="78" customFormat="false" ht="15" hidden="false" customHeight="false" outlineLevel="0" collapsed="false">
      <c r="A78" s="12" t="s">
        <v>85</v>
      </c>
      <c r="B78" s="12" t="s">
        <v>86</v>
      </c>
      <c r="C78" s="12" t="s">
        <v>16</v>
      </c>
      <c r="D78" s="12" t="s">
        <v>17</v>
      </c>
      <c r="E78" s="11" t="n">
        <v>1</v>
      </c>
      <c r="F78" s="13" t="n">
        <v>0</v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22" t="n">
        <f aca="false">E78*SUM(F78:K78)</f>
        <v>0</v>
      </c>
      <c r="M78" s="14" t="n">
        <f aca="false">'Mumbai Stock'!F77</f>
        <v>0</v>
      </c>
      <c r="N78" s="14" t="n">
        <f aca="false">MAX(0,L78-M78)</f>
        <v>0</v>
      </c>
    </row>
    <row r="79" customFormat="false" ht="15" hidden="false" customHeight="false" outlineLevel="0" collapsed="false">
      <c r="A79" s="12" t="s">
        <v>88</v>
      </c>
      <c r="B79" s="12" t="s">
        <v>86</v>
      </c>
      <c r="C79" s="12" t="s">
        <v>16</v>
      </c>
      <c r="D79" s="12" t="s">
        <v>17</v>
      </c>
      <c r="E79" s="11" t="n">
        <v>1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22" t="n">
        <f aca="false">E79*SUM(F79:K79)</f>
        <v>0</v>
      </c>
      <c r="M79" s="14" t="n">
        <f aca="false">'Mumbai Stock'!F78</f>
        <v>0</v>
      </c>
      <c r="N79" s="14" t="n">
        <f aca="false">MAX(0,L79-M79)</f>
        <v>0</v>
      </c>
    </row>
    <row r="80" customFormat="false" ht="15" hidden="false" customHeight="false" outlineLevel="0" collapsed="false">
      <c r="A80" s="12" t="s">
        <v>90</v>
      </c>
      <c r="B80" s="12" t="s">
        <v>86</v>
      </c>
      <c r="C80" s="12" t="s">
        <v>16</v>
      </c>
      <c r="D80" s="12" t="s">
        <v>17</v>
      </c>
      <c r="E80" s="11" t="n">
        <v>1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22" t="n">
        <f aca="false">E80*SUM(F80:K80)</f>
        <v>0</v>
      </c>
      <c r="M80" s="14" t="n">
        <f aca="false">'Mumbai Stock'!F79</f>
        <v>0</v>
      </c>
      <c r="N80" s="14" t="n">
        <f aca="false">MAX(0,L80-M80)</f>
        <v>0</v>
      </c>
    </row>
    <row r="81" customFormat="false" ht="15" hidden="false" customHeight="false" outlineLevel="0" collapsed="false">
      <c r="A81" s="12" t="s">
        <v>92</v>
      </c>
      <c r="B81" s="12" t="s">
        <v>86</v>
      </c>
      <c r="C81" s="12" t="s">
        <v>16</v>
      </c>
      <c r="D81" s="12" t="s">
        <v>17</v>
      </c>
      <c r="E81" s="11" t="n">
        <v>1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22" t="n">
        <f aca="false">E81*SUM(F81:K81)</f>
        <v>0</v>
      </c>
      <c r="M81" s="14" t="n">
        <f aca="false">'Mumbai Stock'!F80</f>
        <v>0</v>
      </c>
      <c r="N81" s="14" t="n">
        <f aca="false">MAX(0,L81-M81)</f>
        <v>0</v>
      </c>
    </row>
  </sheetData>
  <autoFilter ref="A3:N81"/>
  <mergeCells count="3">
    <mergeCell ref="A1:O1"/>
    <mergeCell ref="A2:O2"/>
    <mergeCell ref="A4:E4"/>
  </mergeCells>
  <conditionalFormatting sqref="N5:N81">
    <cfRule type="expression" priority="2" aboveAverage="0" equalAverage="0" bottom="0" percent="0" rank="0" text="" dxfId="19">
      <formula>N5&gt;0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77777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122</v>
      </c>
      <c r="B1" s="1"/>
      <c r="C1" s="1"/>
    </row>
    <row r="3" customFormat="false" ht="21.75" hidden="false" customHeight="true" outlineLevel="0" collapsed="false">
      <c r="A3" s="24" t="s">
        <v>123</v>
      </c>
      <c r="B3" s="24" t="s">
        <v>124</v>
      </c>
      <c r="C3" s="24" t="s">
        <v>125</v>
      </c>
    </row>
    <row r="4" customFormat="false" ht="21.75" hidden="false" customHeight="true" outlineLevel="0" collapsed="false">
      <c r="A4" s="25" t="s">
        <v>126</v>
      </c>
      <c r="B4" s="25" t="s">
        <v>127</v>
      </c>
      <c r="C4" s="25" t="s">
        <v>128</v>
      </c>
    </row>
    <row r="5" customFormat="false" ht="21.75" hidden="false" customHeight="true" outlineLevel="0" collapsed="false">
      <c r="A5" s="26" t="s">
        <v>129</v>
      </c>
      <c r="B5" s="26" t="s">
        <v>130</v>
      </c>
      <c r="C5" s="26" t="s">
        <v>131</v>
      </c>
    </row>
    <row r="6" customFormat="false" ht="21.75" hidden="false" customHeight="true" outlineLevel="0" collapsed="false">
      <c r="A6" s="25" t="s">
        <v>132</v>
      </c>
      <c r="B6" s="25" t="s">
        <v>133</v>
      </c>
      <c r="C6" s="25" t="s">
        <v>134</v>
      </c>
    </row>
    <row r="7" customFormat="false" ht="21.75" hidden="false" customHeight="true" outlineLevel="0" collapsed="false">
      <c r="A7" s="26" t="s">
        <v>135</v>
      </c>
      <c r="B7" s="26" t="s">
        <v>136</v>
      </c>
      <c r="C7" s="26" t="s">
        <v>137</v>
      </c>
    </row>
    <row r="8" customFormat="false" ht="21.75" hidden="false" customHeight="true" outlineLevel="0" collapsed="false">
      <c r="A8" s="27"/>
      <c r="B8" s="27"/>
      <c r="C8" s="27"/>
    </row>
    <row r="9" customFormat="false" ht="21.75" hidden="false" customHeight="true" outlineLevel="0" collapsed="false">
      <c r="A9" s="28" t="s">
        <v>138</v>
      </c>
      <c r="B9" s="29"/>
      <c r="C9" s="29"/>
    </row>
    <row r="10" customFormat="false" ht="21.75" hidden="false" customHeight="true" outlineLevel="0" collapsed="false">
      <c r="A10" s="25" t="s">
        <v>139</v>
      </c>
      <c r="B10" s="25" t="s">
        <v>140</v>
      </c>
      <c r="C10" s="27"/>
    </row>
    <row r="11" customFormat="false" ht="21.75" hidden="false" customHeight="true" outlineLevel="0" collapsed="false">
      <c r="A11" s="26" t="s">
        <v>141</v>
      </c>
      <c r="B11" s="26" t="s">
        <v>142</v>
      </c>
      <c r="C11" s="29"/>
    </row>
    <row r="12" customFormat="false" ht="21.75" hidden="false" customHeight="true" outlineLevel="0" collapsed="false">
      <c r="A12" s="25" t="s">
        <v>143</v>
      </c>
      <c r="B12" s="25" t="s">
        <v>144</v>
      </c>
      <c r="C12" s="27"/>
    </row>
    <row r="13" customFormat="false" ht="21.75" hidden="false" customHeight="true" outlineLevel="0" collapsed="false">
      <c r="A13" s="26" t="s">
        <v>145</v>
      </c>
      <c r="B13" s="26" t="s">
        <v>146</v>
      </c>
      <c r="C13" s="29"/>
    </row>
    <row r="14" customFormat="false" ht="21.75" hidden="false" customHeight="true" outlineLevel="0" collapsed="false">
      <c r="A14" s="25" t="s">
        <v>147</v>
      </c>
      <c r="B14" s="25" t="s">
        <v>148</v>
      </c>
      <c r="C14" s="27"/>
    </row>
    <row r="15" customFormat="false" ht="21.75" hidden="false" customHeight="true" outlineLevel="0" collapsed="false">
      <c r="A15" s="29"/>
      <c r="B15" s="29"/>
      <c r="C15" s="29"/>
    </row>
    <row r="16" customFormat="false" ht="21.75" hidden="false" customHeight="true" outlineLevel="0" collapsed="false">
      <c r="A16" s="28" t="s">
        <v>149</v>
      </c>
      <c r="B16" s="27"/>
      <c r="C16" s="27"/>
    </row>
    <row r="17" customFormat="false" ht="21.75" hidden="false" customHeight="true" outlineLevel="0" collapsed="false">
      <c r="A17" s="26" t="s">
        <v>150</v>
      </c>
      <c r="B17" s="26" t="s">
        <v>151</v>
      </c>
      <c r="C17" s="26" t="s">
        <v>152</v>
      </c>
    </row>
    <row r="18" customFormat="false" ht="21.75" hidden="false" customHeight="true" outlineLevel="0" collapsed="false">
      <c r="A18" s="25" t="s">
        <v>153</v>
      </c>
      <c r="B18" s="25" t="s">
        <v>154</v>
      </c>
      <c r="C18" s="25" t="s">
        <v>155</v>
      </c>
    </row>
    <row r="19" customFormat="false" ht="21.75" hidden="false" customHeight="true" outlineLevel="0" collapsed="false">
      <c r="A19" s="26" t="s">
        <v>156</v>
      </c>
      <c r="B19" s="26" t="s">
        <v>157</v>
      </c>
      <c r="C19" s="26" t="s">
        <v>158</v>
      </c>
    </row>
    <row r="20" customFormat="false" ht="21.75" hidden="false" customHeight="true" outlineLevel="0" collapsed="false">
      <c r="A20" s="25" t="s">
        <v>159</v>
      </c>
      <c r="B20" s="25" t="s">
        <v>160</v>
      </c>
      <c r="C20" s="25" t="s">
        <v>161</v>
      </c>
    </row>
    <row r="21" customFormat="false" ht="21.75" hidden="false" customHeight="true" outlineLevel="0" collapsed="false">
      <c r="A21" s="26" t="s">
        <v>162</v>
      </c>
      <c r="B21" s="26" t="s">
        <v>163</v>
      </c>
      <c r="C21" s="26" t="s">
        <v>164</v>
      </c>
    </row>
    <row r="22" customFormat="false" ht="21.75" hidden="false" customHeight="true" outlineLevel="0" collapsed="false">
      <c r="A22" s="25" t="s">
        <v>165</v>
      </c>
      <c r="B22" s="25" t="s">
        <v>166</v>
      </c>
      <c r="C22" s="25" t="s">
        <v>167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2026-06-11T05:52:42Z</dcterms:created>
  <dc:creator>openpyxl</dc:creator>
  <dc:description/>
  <dc:language>en-US</dc:language>
  <cp:lastModifiedBy/>
  <dcterms:modified xsi:type="dcterms:W3CDTF">2026-06-11T05:52:43Z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